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s_Raw" sheetId="2" state="visible" r:id="rId4"/>
    <sheet name="Mapping" sheetId="3" state="visible" r:id="rId5"/>
    <sheet name="Customer_Master" sheetId="4" state="visible" r:id="rId6"/>
    <sheet name="Bookings" sheetId="5" state="visible" r:id="rId7"/>
    <sheet name="Country_Map" sheetId="6" state="visible" r:id="rId8"/>
  </sheets>
  <definedNames>
    <definedName function="false" hidden="true" localSheetId="4" name="_xlnm._FilterDatabase" vbProcedure="false">Bookings!$A$1:$G$389</definedName>
    <definedName function="false" hidden="true" localSheetId="1" name="_xlnm._FilterDatabase" vbProcedure="false">Customers_Raw!$A$1:$L$21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<sst xmlns="http://schemas.openxmlformats.org/spreadsheetml/2006/main" count="1817" uniqueCount="552">
  <si>
    <t xml:space="preserve">Customer Data Quality Check – monthly routine</t>
  </si>
  <si>
    <t xml:space="preserve">Practice data. Orange columns are automatic checks; you only paste new data into the white columns.</t>
  </si>
  <si>
    <t xml:space="preserve">DATA QUALITY</t>
  </si>
  <si>
    <t xml:space="preserve">MONTHLY ROUTINE (about 15 min)</t>
  </si>
  <si>
    <t xml:space="preserve">Customer records in source</t>
  </si>
  <si>
    <t xml:space="preserve">1. Paste the new customer export into Customers_Raw (columns A–D)</t>
  </si>
  <si>
    <t xml:space="preserve">Real customers (master)</t>
  </si>
  <si>
    <t xml:space="preserve">2. Paste the new bookings into Bookings (columns A–F)</t>
  </si>
  <si>
    <t xml:space="preserve">Duplicate records</t>
  </si>
  <si>
    <t xml:space="preserve">3. Add new customer IDs to Mapping (or ask the data owner)</t>
  </si>
  <si>
    <t xml:space="preserve">Duplicate rate</t>
  </si>
  <si>
    <t xml:space="preserve">4. Filter Customers_Raw › Status = "To fix"</t>
  </si>
  <si>
    <t xml:space="preserve">Flagged by the match-key rule</t>
  </si>
  <si>
    <t xml:space="preserve">5. Send the to-fix list to the sales owners</t>
  </si>
  <si>
    <t xml:space="preserve">Country missing or non-standard</t>
  </si>
  <si>
    <t xml:space="preserve">6. Note the KPIs on the left, so you can see the trend month by month</t>
  </si>
  <si>
    <t xml:space="preserve">Sales owner missing</t>
  </si>
  <si>
    <t xml:space="preserve">Records to fix (any issue)</t>
  </si>
  <si>
    <t xml:space="preserve">BOOKINGS</t>
  </si>
  <si>
    <t xml:space="preserve">Bookings</t>
  </si>
  <si>
    <t xml:space="preserve">Total revenue</t>
  </si>
  <si>
    <t xml:space="preserve">Unmatched bookings</t>
  </si>
  <si>
    <t xml:space="preserve">Unmatched revenue %</t>
  </si>
  <si>
    <t xml:space="preserve">Check: clean view + unmatched = total</t>
  </si>
  <si>
    <t xml:space="preserve">WHY IT MATTERS</t>
  </si>
  <si>
    <t xml:space="preserve">#1 customer – raw view</t>
  </si>
  <si>
    <t xml:space="preserve">#1 customer – clean view</t>
  </si>
  <si>
    <t xml:space="preserve">Top-4 share – raw view</t>
  </si>
  <si>
    <t xml:space="preserve">Top-4 share – clean view</t>
  </si>
  <si>
    <t xml:space="preserve">CustomerID</t>
  </si>
  <si>
    <t xml:space="preserve">CustomerName</t>
  </si>
  <si>
    <t xml:space="preserve">Country</t>
  </si>
  <si>
    <t xml:space="preserve">SalesOwner</t>
  </si>
  <si>
    <t xml:space="preserve">Match key</t>
  </si>
  <si>
    <t xml:space="preserve">Duplicate check</t>
  </si>
  <si>
    <t xml:space="preserve">Country (ISO)</t>
  </si>
  <si>
    <t xml:space="preserve">Country check</t>
  </si>
  <si>
    <t xml:space="preserve">Owner check</t>
  </si>
  <si>
    <t xml:space="preserve">Revenue (raw view)</t>
  </si>
  <si>
    <t xml:space="preserve">Rank (raw view)</t>
  </si>
  <si>
    <t xml:space="preserve">Status</t>
  </si>
  <si>
    <t xml:space="preserve">C001</t>
  </si>
  <si>
    <t xml:space="preserve">Nordic Foods AB</t>
  </si>
  <si>
    <t xml:space="preserve">SE</t>
  </si>
  <si>
    <t xml:space="preserve">Lena Berg</t>
  </si>
  <si>
    <t xml:space="preserve">C002</t>
  </si>
  <si>
    <t xml:space="preserve">NORDIC FOODS A.B.</t>
  </si>
  <si>
    <t xml:space="preserve">Sweden</t>
  </si>
  <si>
    <t xml:space="preserve">C003</t>
  </si>
  <si>
    <t xml:space="preserve">Nordic Foods</t>
  </si>
  <si>
    <t xml:space="preserve">Schweden</t>
  </si>
  <si>
    <t xml:space="preserve">C004</t>
  </si>
  <si>
    <t xml:space="preserve">Alpha Logistics GmbH</t>
  </si>
  <si>
    <t xml:space="preserve">DE</t>
  </si>
  <si>
    <t xml:space="preserve">Jonas Weber</t>
  </si>
  <si>
    <t xml:space="preserve">C005</t>
  </si>
  <si>
    <t xml:space="preserve">Alpha Logistics G.m.b.H.</t>
  </si>
  <si>
    <t xml:space="preserve">Germany</t>
  </si>
  <si>
    <t xml:space="preserve">C006</t>
  </si>
  <si>
    <t xml:space="preserve">Pacific Fresh Ltd</t>
  </si>
  <si>
    <t xml:space="preserve">SG</t>
  </si>
  <si>
    <t xml:space="preserve">Wei Tan</t>
  </si>
  <si>
    <t xml:space="preserve">C007</t>
  </si>
  <si>
    <t xml:space="preserve">Pacific Fresh Limited</t>
  </si>
  <si>
    <t xml:space="preserve">C008</t>
  </si>
  <si>
    <t xml:space="preserve">Andes Fruit SA</t>
  </si>
  <si>
    <t xml:space="preserve">CL</t>
  </si>
  <si>
    <t xml:space="preserve">Carla Ruiz</t>
  </si>
  <si>
    <t xml:space="preserve">C009</t>
  </si>
  <si>
    <t xml:space="preserve">Andes Fruit S.A.</t>
  </si>
  <si>
    <t xml:space="preserve">Chile</t>
  </si>
  <si>
    <t xml:space="preserve">C010</t>
  </si>
  <si>
    <t xml:space="preserve">Bremen Machinery GmbH</t>
  </si>
  <si>
    <t xml:space="preserve">C011</t>
  </si>
  <si>
    <t xml:space="preserve">Atlantic Chem Inc</t>
  </si>
  <si>
    <t xml:space="preserve">US</t>
  </si>
  <si>
    <t xml:space="preserve">Mark Ellis</t>
  </si>
  <si>
    <t xml:space="preserve">C012</t>
  </si>
  <si>
    <t xml:space="preserve">Atlantic Chemicals Inc.</t>
  </si>
  <si>
    <t xml:space="preserve">USA</t>
  </si>
  <si>
    <t xml:space="preserve">C013</t>
  </si>
  <si>
    <t xml:space="preserve">Shanghai Textiles Co</t>
  </si>
  <si>
    <t xml:space="preserve">CN</t>
  </si>
  <si>
    <t xml:space="preserve">C014</t>
  </si>
  <si>
    <t xml:space="preserve">Rotterdam Retail BV</t>
  </si>
  <si>
    <t xml:space="preserve">NL</t>
  </si>
  <si>
    <t xml:space="preserve">Sanne de Vries</t>
  </si>
  <si>
    <t xml:space="preserve">C015</t>
  </si>
  <si>
    <t xml:space="preserve">Med Olive Oil SpA</t>
  </si>
  <si>
    <t xml:space="preserve">IT</t>
  </si>
  <si>
    <t xml:space="preserve">Luca Romano</t>
  </si>
  <si>
    <t xml:space="preserve">C016</t>
  </si>
  <si>
    <t xml:space="preserve">Gulf Plastics LLC</t>
  </si>
  <si>
    <t xml:space="preserve">AE</t>
  </si>
  <si>
    <t xml:space="preserve">C017</t>
  </si>
  <si>
    <t xml:space="preserve">Baltic Paper AS</t>
  </si>
  <si>
    <t xml:space="preserve">EE</t>
  </si>
  <si>
    <t xml:space="preserve">C018</t>
  </si>
  <si>
    <t xml:space="preserve">Iberia Wines SL</t>
  </si>
  <si>
    <t xml:space="preserve">ES</t>
  </si>
  <si>
    <t xml:space="preserve">C019</t>
  </si>
  <si>
    <t xml:space="preserve">Iberia Wines S.L.</t>
  </si>
  <si>
    <t xml:space="preserve">Spain</t>
  </si>
  <si>
    <t xml:space="preserve">C020</t>
  </si>
  <si>
    <t xml:space="preserve">Bremen Machinery</t>
  </si>
  <si>
    <t xml:space="preserve">Deutschland</t>
  </si>
  <si>
    <t xml:space="preserve">MasterID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</si>
  <si>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</si>
  <si>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</si>
  <si>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</si>
  <si>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</si>
  <si>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</si>
  <si>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</si>
  <si>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</si>
  <si>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</si>
  <si>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</si>
  <si>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</si>
  <si>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</si>
  <si>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</si>
  <si>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MasterName</t>
  </si>
  <si>
    <t xml:space="preserve">CustomerGroup</t>
  </si>
  <si>
    <t xml:space="preserve">Raw records</t>
  </si>
  <si>
    <t xml:space="preserve">Revenue (clean view)</t>
  </si>
  <si>
    <t xml:space="preserve">Rank (clean view)</t>
  </si>
  <si>
    <t xml:space="preserve">Nordic Foods Group</t>
  </si>
  <si>
    <t xml:space="preserve">Alpha Group</t>
  </si>
  <si>
    <t xml:space="preserve">Singapore</t>
  </si>
  <si>
    <t xml:space="preserve">Pacific Fresh</t>
  </si>
  <si>
    <t xml:space="preserve">Andes Fruit</t>
  </si>
  <si>
    <t xml:space="preserve">Bremen Industrie</t>
  </si>
  <si>
    <t xml:space="preserve">Atlantic Chem</t>
  </si>
  <si>
    <t xml:space="preserve">China</t>
  </si>
  <si>
    <t xml:space="preserve">Shanghai Textiles</t>
  </si>
  <si>
    <t xml:space="preserve">Netherlands</t>
  </si>
  <si>
    <t xml:space="preserve">RR Holding</t>
  </si>
  <si>
    <t xml:space="preserve">Italy</t>
  </si>
  <si>
    <t xml:space="preserve">Med Olive</t>
  </si>
  <si>
    <t xml:space="preserve">UAE</t>
  </si>
  <si>
    <t xml:space="preserve">Gulf Plastics</t>
  </si>
  <si>
    <t xml:space="preserve">Omar Haddad</t>
  </si>
  <si>
    <t xml:space="preserve">Estonia</t>
  </si>
  <si>
    <t xml:space="preserve">Baltic Paper</t>
  </si>
  <si>
    <t xml:space="preserve">Iberia Wines</t>
  </si>
  <si>
    <t xml:space="preserve">BookingID</t>
  </si>
  <si>
    <t xml:space="preserve">TradeLane</t>
  </si>
  <si>
    <t xml:space="preserve">Month</t>
  </si>
  <si>
    <t xml:space="preserve">TEU</t>
  </si>
  <si>
    <t xml:space="preserve">Revenue</t>
  </si>
  <si>
    <t xml:space="preserve">MasterID (mapped)</t>
  </si>
  <si>
    <t xml:space="preserve">B0001</t>
  </si>
  <si>
    <t xml:space="preserve">Latin America–Europe</t>
  </si>
  <si>
    <t xml:space="preserve">2026-02</t>
  </si>
  <si>
    <t xml:space="preserve">B0002</t>
  </si>
  <si>
    <t xml:space="preserve">Middle East–Europe</t>
  </si>
  <si>
    <t xml:space="preserve">2026-01</t>
  </si>
  <si>
    <t xml:space="preserve">B0003</t>
  </si>
  <si>
    <t xml:space="preserve">Asia–North Europe</t>
  </si>
  <si>
    <t xml:space="preserve">B0004</t>
  </si>
  <si>
    <t xml:space="preserve">B0005</t>
  </si>
  <si>
    <t xml:space="preserve">Intra-Europe</t>
  </si>
  <si>
    <t xml:space="preserve">B0006</t>
  </si>
  <si>
    <t xml:space="preserve">B0007</t>
  </si>
  <si>
    <t xml:space="preserve">B0008</t>
  </si>
  <si>
    <t xml:space="preserve">2026-04</t>
  </si>
  <si>
    <t xml:space="preserve">B0009</t>
  </si>
  <si>
    <t xml:space="preserve">2026-03</t>
  </si>
  <si>
    <t xml:space="preserve">B0010</t>
  </si>
  <si>
    <t xml:space="preserve">B0011</t>
  </si>
  <si>
    <t xml:space="preserve">2026-06</t>
  </si>
  <si>
    <t xml:space="preserve">B0012</t>
  </si>
  <si>
    <t xml:space="preserve">Transatlantic</t>
  </si>
  <si>
    <t xml:space="preserve">B0013</t>
  </si>
  <si>
    <t xml:space="preserve">B0014</t>
  </si>
  <si>
    <t xml:space="preserve">B0015</t>
  </si>
  <si>
    <t xml:space="preserve">B0016</t>
  </si>
  <si>
    <t xml:space="preserve">2026-05</t>
  </si>
  <si>
    <t xml:space="preserve">B0017</t>
  </si>
  <si>
    <t xml:space="preserve">B0018</t>
  </si>
  <si>
    <t xml:space="preserve">B0019</t>
  </si>
  <si>
    <t xml:space="preserve">B0020</t>
  </si>
  <si>
    <t xml:space="preserve">B0021</t>
  </si>
  <si>
    <t xml:space="preserve">B0022</t>
  </si>
  <si>
    <t xml:space="preserve">B0023</t>
  </si>
  <si>
    <t xml:space="preserve">B0024</t>
  </si>
  <si>
    <t xml:space="preserve">B0025</t>
  </si>
  <si>
    <t xml:space="preserve">B0026</t>
  </si>
  <si>
    <t xml:space="preserve">B0027</t>
  </si>
  <si>
    <t xml:space="preserve">B0028</t>
  </si>
  <si>
    <t xml:space="preserve">B0029</t>
  </si>
  <si>
    <t xml:space="preserve">B0030</t>
  </si>
  <si>
    <t xml:space="preserve">B0031</t>
  </si>
  <si>
    <t xml:space="preserve">B0032</t>
  </si>
  <si>
    <t xml:space="preserve">B0033</t>
  </si>
  <si>
    <t xml:space="preserve">B0034</t>
  </si>
  <si>
    <t xml:space="preserve">B0035</t>
  </si>
  <si>
    <t xml:space="preserve">B0036</t>
  </si>
  <si>
    <t xml:space="preserve">B0037</t>
  </si>
  <si>
    <t xml:space="preserve">B0038</t>
  </si>
  <si>
    <t xml:space="preserve">B0039</t>
  </si>
  <si>
    <t xml:space="preserve">B0040</t>
  </si>
  <si>
    <t xml:space="preserve">B0041</t>
  </si>
  <si>
    <t xml:space="preserve">B0042</t>
  </si>
  <si>
    <t xml:space="preserve">B0043</t>
  </si>
  <si>
    <t xml:space="preserve">B0044</t>
  </si>
  <si>
    <t xml:space="preserve">B0045</t>
  </si>
  <si>
    <t xml:space="preserve">B0046</t>
  </si>
  <si>
    <t xml:space="preserve">B0047</t>
  </si>
  <si>
    <t xml:space="preserve">B0048</t>
  </si>
  <si>
    <t xml:space="preserve">B0049</t>
  </si>
  <si>
    <t xml:space="preserve">B0050</t>
  </si>
  <si>
    <t xml:space="preserve">B0051</t>
  </si>
  <si>
    <t xml:space="preserve">B0052</t>
  </si>
  <si>
    <t xml:space="preserve">B0053</t>
  </si>
  <si>
    <t xml:space="preserve">B0054</t>
  </si>
  <si>
    <t xml:space="preserve">B0055</t>
  </si>
  <si>
    <t xml:space="preserve">B0056</t>
  </si>
  <si>
    <t xml:space="preserve">B0057</t>
  </si>
  <si>
    <t xml:space="preserve">B0058</t>
  </si>
  <si>
    <t xml:space="preserve">B0059</t>
  </si>
  <si>
    <t xml:space="preserve">B0060</t>
  </si>
  <si>
    <t xml:space="preserve">B0061</t>
  </si>
  <si>
    <t xml:space="preserve">B0062</t>
  </si>
  <si>
    <t xml:space="preserve">B0063</t>
  </si>
  <si>
    <t xml:space="preserve">B0064</t>
  </si>
  <si>
    <t xml:space="preserve">B0065</t>
  </si>
  <si>
    <t xml:space="preserve">B0066</t>
  </si>
  <si>
    <t xml:space="preserve">B0067</t>
  </si>
  <si>
    <t xml:space="preserve">B0068</t>
  </si>
  <si>
    <t xml:space="preserve">B0069</t>
  </si>
  <si>
    <t xml:space="preserve">B0070</t>
  </si>
  <si>
    <t xml:space="preserve">B0071</t>
  </si>
  <si>
    <t xml:space="preserve">B0072</t>
  </si>
  <si>
    <t xml:space="preserve">B0073</t>
  </si>
  <si>
    <t xml:space="preserve">B0074</t>
  </si>
  <si>
    <t xml:space="preserve">B0075</t>
  </si>
  <si>
    <t xml:space="preserve">B0076</t>
  </si>
  <si>
    <t xml:space="preserve">B0077</t>
  </si>
  <si>
    <t xml:space="preserve">B0078</t>
  </si>
  <si>
    <t xml:space="preserve">B0079</t>
  </si>
  <si>
    <t xml:space="preserve">B0080</t>
  </si>
  <si>
    <t xml:space="preserve">B0081</t>
  </si>
  <si>
    <t xml:space="preserve">B0082</t>
  </si>
  <si>
    <t xml:space="preserve">B0083</t>
  </si>
  <si>
    <t xml:space="preserve">B0084</t>
  </si>
  <si>
    <t xml:space="preserve">B0085</t>
  </si>
  <si>
    <t xml:space="preserve">B0086</t>
  </si>
  <si>
    <t xml:space="preserve">B0087</t>
  </si>
  <si>
    <t xml:space="preserve">B0088</t>
  </si>
  <si>
    <t xml:space="preserve">B0089</t>
  </si>
  <si>
    <t xml:space="preserve">B0090</t>
  </si>
  <si>
    <t xml:space="preserve">B0091</t>
  </si>
  <si>
    <t xml:space="preserve">B0092</t>
  </si>
  <si>
    <t xml:space="preserve">B0093</t>
  </si>
  <si>
    <t xml:space="preserve">B0094</t>
  </si>
  <si>
    <t xml:space="preserve">B0095</t>
  </si>
  <si>
    <t xml:space="preserve">B0096</t>
  </si>
  <si>
    <t xml:space="preserve">B0097</t>
  </si>
  <si>
    <t xml:space="preserve">B0098</t>
  </si>
  <si>
    <t xml:space="preserve">B0099</t>
  </si>
  <si>
    <t xml:space="preserve">B0100</t>
  </si>
  <si>
    <t xml:space="preserve">B0101</t>
  </si>
  <si>
    <t xml:space="preserve">B0102</t>
  </si>
  <si>
    <t xml:space="preserve">B0103</t>
  </si>
  <si>
    <t xml:space="preserve">B0104</t>
  </si>
  <si>
    <t xml:space="preserve">B0105</t>
  </si>
  <si>
    <t xml:space="preserve">B0106</t>
  </si>
  <si>
    <t xml:space="preserve">B0107</t>
  </si>
  <si>
    <t xml:space="preserve">B0108</t>
  </si>
  <si>
    <t xml:space="preserve">B0109</t>
  </si>
  <si>
    <t xml:space="preserve">B0110</t>
  </si>
  <si>
    <t xml:space="preserve">B0111</t>
  </si>
  <si>
    <t xml:space="preserve">B0112</t>
  </si>
  <si>
    <t xml:space="preserve">B0113</t>
  </si>
  <si>
    <t xml:space="preserve">B0114</t>
  </si>
  <si>
    <t xml:space="preserve">B0115</t>
  </si>
  <si>
    <t xml:space="preserve">B0116</t>
  </si>
  <si>
    <t xml:space="preserve">B0117</t>
  </si>
  <si>
    <t xml:space="preserve">B0118</t>
  </si>
  <si>
    <t xml:space="preserve">B0119</t>
  </si>
  <si>
    <t xml:space="preserve">B0120</t>
  </si>
  <si>
    <t xml:space="preserve">B0121</t>
  </si>
  <si>
    <t xml:space="preserve">B0122</t>
  </si>
  <si>
    <t xml:space="preserve">B0123</t>
  </si>
  <si>
    <t xml:space="preserve">B0124</t>
  </si>
  <si>
    <t xml:space="preserve">B0125</t>
  </si>
  <si>
    <t xml:space="preserve">B0126</t>
  </si>
  <si>
    <t xml:space="preserve">B0127</t>
  </si>
  <si>
    <t xml:space="preserve">B0128</t>
  </si>
  <si>
    <t xml:space="preserve">B0129</t>
  </si>
  <si>
    <t xml:space="preserve">B0130</t>
  </si>
  <si>
    <t xml:space="preserve">B0131</t>
  </si>
  <si>
    <t xml:space="preserve">B0132</t>
  </si>
  <si>
    <t xml:space="preserve">B0133</t>
  </si>
  <si>
    <t xml:space="preserve">B0134</t>
  </si>
  <si>
    <t xml:space="preserve">B0135</t>
  </si>
  <si>
    <t xml:space="preserve">B0136</t>
  </si>
  <si>
    <t xml:space="preserve">B0137</t>
  </si>
  <si>
    <t xml:space="preserve">B0138</t>
  </si>
  <si>
    <t xml:space="preserve">B0139</t>
  </si>
  <si>
    <t xml:space="preserve">B0140</t>
  </si>
  <si>
    <t xml:space="preserve">B0141</t>
  </si>
  <si>
    <t xml:space="preserve">B0142</t>
  </si>
  <si>
    <t xml:space="preserve">B0143</t>
  </si>
  <si>
    <t xml:space="preserve">B0144</t>
  </si>
  <si>
    <t xml:space="preserve">B0145</t>
  </si>
  <si>
    <t xml:space="preserve">B0146</t>
  </si>
  <si>
    <t xml:space="preserve">B0147</t>
  </si>
  <si>
    <t xml:space="preserve">B0148</t>
  </si>
  <si>
    <t xml:space="preserve">B0149</t>
  </si>
  <si>
    <t xml:space="preserve">B0150</t>
  </si>
  <si>
    <t xml:space="preserve">B0151</t>
  </si>
  <si>
    <t xml:space="preserve">B0152</t>
  </si>
  <si>
    <t xml:space="preserve">B0153</t>
  </si>
  <si>
    <t xml:space="preserve">B0154</t>
  </si>
  <si>
    <t xml:space="preserve">B0155</t>
  </si>
  <si>
    <t xml:space="preserve">B0156</t>
  </si>
  <si>
    <t xml:space="preserve">B0157</t>
  </si>
  <si>
    <t xml:space="preserve">B0158</t>
  </si>
  <si>
    <t xml:space="preserve">B0159</t>
  </si>
  <si>
    <t xml:space="preserve">B0160</t>
  </si>
  <si>
    <t xml:space="preserve">B0161</t>
  </si>
  <si>
    <t xml:space="preserve">B0162</t>
  </si>
  <si>
    <t xml:space="preserve">B0163</t>
  </si>
  <si>
    <t xml:space="preserve">B0164</t>
  </si>
  <si>
    <t xml:space="preserve">B0165</t>
  </si>
  <si>
    <t xml:space="preserve">B0166</t>
  </si>
  <si>
    <t xml:space="preserve">B0167</t>
  </si>
  <si>
    <t xml:space="preserve">B0168</t>
  </si>
  <si>
    <t xml:space="preserve">B0169</t>
  </si>
  <si>
    <t xml:space="preserve">B0170</t>
  </si>
  <si>
    <t xml:space="preserve">B0171</t>
  </si>
  <si>
    <t xml:space="preserve">B0172</t>
  </si>
  <si>
    <t xml:space="preserve">B0173</t>
  </si>
  <si>
    <t xml:space="preserve">B0174</t>
  </si>
  <si>
    <t xml:space="preserve">B0175</t>
  </si>
  <si>
    <t xml:space="preserve">B0176</t>
  </si>
  <si>
    <t xml:space="preserve">B0177</t>
  </si>
  <si>
    <t xml:space="preserve">B0178</t>
  </si>
  <si>
    <t xml:space="preserve">B0179</t>
  </si>
  <si>
    <t xml:space="preserve">B0180</t>
  </si>
  <si>
    <t xml:space="preserve">B0181</t>
  </si>
  <si>
    <t xml:space="preserve">B0182</t>
  </si>
  <si>
    <t xml:space="preserve">B0183</t>
  </si>
  <si>
    <t xml:space="preserve">B0184</t>
  </si>
  <si>
    <t xml:space="preserve">B0185</t>
  </si>
  <si>
    <t xml:space="preserve">B0186</t>
  </si>
  <si>
    <t xml:space="preserve">B0187</t>
  </si>
  <si>
    <t xml:space="preserve">B0188</t>
  </si>
  <si>
    <t xml:space="preserve">B0189</t>
  </si>
  <si>
    <t xml:space="preserve">B0190</t>
  </si>
  <si>
    <t xml:space="preserve">B0191</t>
  </si>
  <si>
    <t xml:space="preserve">B0192</t>
  </si>
  <si>
    <t xml:space="preserve">B0193</t>
  </si>
  <si>
    <t xml:space="preserve">B0194</t>
  </si>
  <si>
    <t xml:space="preserve">B0195</t>
  </si>
  <si>
    <t xml:space="preserve">B0196</t>
  </si>
  <si>
    <t xml:space="preserve">B0197</t>
  </si>
  <si>
    <t xml:space="preserve">B0198</t>
  </si>
  <si>
    <t xml:space="preserve">B0199</t>
  </si>
  <si>
    <t xml:space="preserve">B0200</t>
  </si>
  <si>
    <t xml:space="preserve">B0201</t>
  </si>
  <si>
    <t xml:space="preserve">B0202</t>
  </si>
  <si>
    <t xml:space="preserve">B0203</t>
  </si>
  <si>
    <t xml:space="preserve">B0204</t>
  </si>
  <si>
    <t xml:space="preserve">B0205</t>
  </si>
  <si>
    <t xml:space="preserve">B0206</t>
  </si>
  <si>
    <t xml:space="preserve">B0207</t>
  </si>
  <si>
    <t xml:space="preserve">B0208</t>
  </si>
  <si>
    <t xml:space="preserve">B0209</t>
  </si>
  <si>
    <t xml:space="preserve">B0210</t>
  </si>
  <si>
    <t xml:space="preserve">B0211</t>
  </si>
  <si>
    <t xml:space="preserve">B0212</t>
  </si>
  <si>
    <t xml:space="preserve">B0213</t>
  </si>
  <si>
    <t xml:space="preserve">B0214</t>
  </si>
  <si>
    <t xml:space="preserve">B0215</t>
  </si>
  <si>
    <t xml:space="preserve">B0216</t>
  </si>
  <si>
    <t xml:space="preserve">B0217</t>
  </si>
  <si>
    <t xml:space="preserve">B0218</t>
  </si>
  <si>
    <t xml:space="preserve">B0219</t>
  </si>
  <si>
    <t xml:space="preserve">B0220</t>
  </si>
  <si>
    <t xml:space="preserve">B0221</t>
  </si>
  <si>
    <t xml:space="preserve">B0222</t>
  </si>
  <si>
    <t xml:space="preserve">B0223</t>
  </si>
  <si>
    <t xml:space="preserve">B0224</t>
  </si>
  <si>
    <t xml:space="preserve">B0225</t>
  </si>
  <si>
    <t xml:space="preserve">B0226</t>
  </si>
  <si>
    <t xml:space="preserve">B0227</t>
  </si>
  <si>
    <t xml:space="preserve">B0228</t>
  </si>
  <si>
    <t xml:space="preserve">B0229</t>
  </si>
  <si>
    <t xml:space="preserve">B0230</t>
  </si>
  <si>
    <t xml:space="preserve">B0231</t>
  </si>
  <si>
    <t xml:space="preserve">B0232</t>
  </si>
  <si>
    <t xml:space="preserve">B0233</t>
  </si>
  <si>
    <t xml:space="preserve">B0234</t>
  </si>
  <si>
    <t xml:space="preserve">B0235</t>
  </si>
  <si>
    <t xml:space="preserve">B0236</t>
  </si>
  <si>
    <t xml:space="preserve">B0237</t>
  </si>
  <si>
    <t xml:space="preserve">B0238</t>
  </si>
  <si>
    <t xml:space="preserve">B0239</t>
  </si>
  <si>
    <t xml:space="preserve">B0240</t>
  </si>
  <si>
    <t xml:space="preserve">B0241</t>
  </si>
  <si>
    <t xml:space="preserve">B0242</t>
  </si>
  <si>
    <t xml:space="preserve">B0243</t>
  </si>
  <si>
    <t xml:space="preserve">B0244</t>
  </si>
  <si>
    <t xml:space="preserve">B0245</t>
  </si>
  <si>
    <t xml:space="preserve">B0246</t>
  </si>
  <si>
    <t xml:space="preserve">B0247</t>
  </si>
  <si>
    <t xml:space="preserve">B0248</t>
  </si>
  <si>
    <t xml:space="preserve">B0249</t>
  </si>
  <si>
    <t xml:space="preserve">B0250</t>
  </si>
  <si>
    <t xml:space="preserve">B0251</t>
  </si>
  <si>
    <t xml:space="preserve">B0252</t>
  </si>
  <si>
    <t xml:space="preserve">B0253</t>
  </si>
  <si>
    <t xml:space="preserve">B0254</t>
  </si>
  <si>
    <t xml:space="preserve">B0255</t>
  </si>
  <si>
    <t xml:space="preserve">B0256</t>
  </si>
  <si>
    <t xml:space="preserve">B0257</t>
  </si>
  <si>
    <t xml:space="preserve">B0258</t>
  </si>
  <si>
    <t xml:space="preserve">B0259</t>
  </si>
  <si>
    <t xml:space="preserve">B0260</t>
  </si>
  <si>
    <t xml:space="preserve">B0261</t>
  </si>
  <si>
    <t xml:space="preserve">B0262</t>
  </si>
  <si>
    <t xml:space="preserve">B0263</t>
  </si>
  <si>
    <t xml:space="preserve">B0264</t>
  </si>
  <si>
    <t xml:space="preserve">B0265</t>
  </si>
  <si>
    <t xml:space="preserve">B0266</t>
  </si>
  <si>
    <t xml:space="preserve">B0267</t>
  </si>
  <si>
    <t xml:space="preserve">B0268</t>
  </si>
  <si>
    <t xml:space="preserve">B0269</t>
  </si>
  <si>
    <t xml:space="preserve">B0270</t>
  </si>
  <si>
    <t xml:space="preserve">B0271</t>
  </si>
  <si>
    <t xml:space="preserve">B0272</t>
  </si>
  <si>
    <t xml:space="preserve">B0273</t>
  </si>
  <si>
    <t xml:space="preserve">B0274</t>
  </si>
  <si>
    <t xml:space="preserve">B0275</t>
  </si>
  <si>
    <t xml:space="preserve">B0276</t>
  </si>
  <si>
    <t xml:space="preserve">B0277</t>
  </si>
  <si>
    <t xml:space="preserve">B0278</t>
  </si>
  <si>
    <t xml:space="preserve">B0279</t>
  </si>
  <si>
    <t xml:space="preserve">B0280</t>
  </si>
  <si>
    <t xml:space="preserve">B0281</t>
  </si>
  <si>
    <t xml:space="preserve">B0282</t>
  </si>
  <si>
    <t xml:space="preserve">B0283</t>
  </si>
  <si>
    <t xml:space="preserve">B0284</t>
  </si>
  <si>
    <t xml:space="preserve">B0285</t>
  </si>
  <si>
    <t xml:space="preserve">B0286</t>
  </si>
  <si>
    <t xml:space="preserve">B0287</t>
  </si>
  <si>
    <t xml:space="preserve">B0288</t>
  </si>
  <si>
    <t xml:space="preserve">B0289</t>
  </si>
  <si>
    <t xml:space="preserve">B0290</t>
  </si>
  <si>
    <t xml:space="preserve">B0291</t>
  </si>
  <si>
    <t xml:space="preserve">B0292</t>
  </si>
  <si>
    <t xml:space="preserve">B0293</t>
  </si>
  <si>
    <t xml:space="preserve">B0294</t>
  </si>
  <si>
    <t xml:space="preserve">B0295</t>
  </si>
  <si>
    <t xml:space="preserve">B0296</t>
  </si>
  <si>
    <t xml:space="preserve">B0297</t>
  </si>
  <si>
    <t xml:space="preserve">B0298</t>
  </si>
  <si>
    <t xml:space="preserve">B0299</t>
  </si>
  <si>
    <t xml:space="preserve">B0300</t>
  </si>
  <si>
    <t xml:space="preserve">B0301</t>
  </si>
  <si>
    <t xml:space="preserve">B0302</t>
  </si>
  <si>
    <t xml:space="preserve">B0303</t>
  </si>
  <si>
    <t xml:space="preserve">B0304</t>
  </si>
  <si>
    <t xml:space="preserve">B0305</t>
  </si>
  <si>
    <t xml:space="preserve">B0306</t>
  </si>
  <si>
    <t xml:space="preserve">B0307</t>
  </si>
  <si>
    <t xml:space="preserve">B0308</t>
  </si>
  <si>
    <t xml:space="preserve">B0309</t>
  </si>
  <si>
    <t xml:space="preserve">B0310</t>
  </si>
  <si>
    <t xml:space="preserve">B0311</t>
  </si>
  <si>
    <t xml:space="preserve">B0312</t>
  </si>
  <si>
    <t xml:space="preserve">B0313</t>
  </si>
  <si>
    <t xml:space="preserve">B0314</t>
  </si>
  <si>
    <t xml:space="preserve">B0315</t>
  </si>
  <si>
    <t xml:space="preserve">B0316</t>
  </si>
  <si>
    <t xml:space="preserve">B0317</t>
  </si>
  <si>
    <t xml:space="preserve">B0318</t>
  </si>
  <si>
    <t xml:space="preserve">B0319</t>
  </si>
  <si>
    <t xml:space="preserve">B0320</t>
  </si>
  <si>
    <t xml:space="preserve">B0321</t>
  </si>
  <si>
    <t xml:space="preserve">B0322</t>
  </si>
  <si>
    <t xml:space="preserve">B0323</t>
  </si>
  <si>
    <t xml:space="preserve">B0324</t>
  </si>
  <si>
    <t xml:space="preserve">B0325</t>
  </si>
  <si>
    <t xml:space="preserve">B0326</t>
  </si>
  <si>
    <t xml:space="preserve">B0327</t>
  </si>
  <si>
    <t xml:space="preserve">B0328</t>
  </si>
  <si>
    <t xml:space="preserve">B0329</t>
  </si>
  <si>
    <t xml:space="preserve">B0330</t>
  </si>
  <si>
    <t xml:space="preserve">B0331</t>
  </si>
  <si>
    <t xml:space="preserve">B0332</t>
  </si>
  <si>
    <t xml:space="preserve">B0333</t>
  </si>
  <si>
    <t xml:space="preserve">B0334</t>
  </si>
  <si>
    <t xml:space="preserve">B0335</t>
  </si>
  <si>
    <t xml:space="preserve">B0336</t>
  </si>
  <si>
    <t xml:space="preserve">B0337</t>
  </si>
  <si>
    <t xml:space="preserve">B0338</t>
  </si>
  <si>
    <t xml:space="preserve">B0339</t>
  </si>
  <si>
    <t xml:space="preserve">B0340</t>
  </si>
  <si>
    <t xml:space="preserve">B0341</t>
  </si>
  <si>
    <t xml:space="preserve">B0342</t>
  </si>
  <si>
    <t xml:space="preserve">B0343</t>
  </si>
  <si>
    <t xml:space="preserve">B0344</t>
  </si>
  <si>
    <t xml:space="preserve">B0345</t>
  </si>
  <si>
    <t xml:space="preserve">B0346</t>
  </si>
  <si>
    <t xml:space="preserve">B0347</t>
  </si>
  <si>
    <t xml:space="preserve">B0348</t>
  </si>
  <si>
    <t xml:space="preserve">B0349</t>
  </si>
  <si>
    <t xml:space="preserve">B0350</t>
  </si>
  <si>
    <t xml:space="preserve">B0351</t>
  </si>
  <si>
    <t xml:space="preserve">B0352</t>
  </si>
  <si>
    <t xml:space="preserve">B0353</t>
  </si>
  <si>
    <t xml:space="preserve">B0354</t>
  </si>
  <si>
    <t xml:space="preserve">B0355</t>
  </si>
  <si>
    <t xml:space="preserve">B0356</t>
  </si>
  <si>
    <t xml:space="preserve">B0357</t>
  </si>
  <si>
    <t xml:space="preserve">B0358</t>
  </si>
  <si>
    <t xml:space="preserve">B0359</t>
  </si>
  <si>
    <t xml:space="preserve">B0360</t>
  </si>
  <si>
    <t xml:space="preserve">B0361</t>
  </si>
  <si>
    <t xml:space="preserve">B0362</t>
  </si>
  <si>
    <t xml:space="preserve">B0363</t>
  </si>
  <si>
    <t xml:space="preserve">B0364</t>
  </si>
  <si>
    <t xml:space="preserve">B0365</t>
  </si>
  <si>
    <t xml:space="preserve">B0366</t>
  </si>
  <si>
    <t xml:space="preserve">B0367</t>
  </si>
  <si>
    <t xml:space="preserve">B0368</t>
  </si>
  <si>
    <t xml:space="preserve">B0369</t>
  </si>
  <si>
    <t xml:space="preserve">B0370</t>
  </si>
  <si>
    <t xml:space="preserve">B0371</t>
  </si>
  <si>
    <t xml:space="preserve">C099</t>
  </si>
  <si>
    <t xml:space="preserve">B0372</t>
  </si>
  <si>
    <t xml:space="preserve">B0373</t>
  </si>
  <si>
    <t xml:space="preserve">B0374</t>
  </si>
  <si>
    <t xml:space="preserve">C100</t>
  </si>
  <si>
    <t xml:space="preserve">B0375</t>
  </si>
  <si>
    <t xml:space="preserve">B0376</t>
  </si>
  <si>
    <t xml:space="preserve">B0377</t>
  </si>
  <si>
    <t xml:space="preserve">B0378</t>
  </si>
  <si>
    <t xml:space="preserve">B0379</t>
  </si>
  <si>
    <t xml:space="preserve">B0380</t>
  </si>
  <si>
    <t xml:space="preserve">B0381</t>
  </si>
  <si>
    <t xml:space="preserve">B0382</t>
  </si>
  <si>
    <t xml:space="preserve">B0383</t>
  </si>
  <si>
    <t xml:space="preserve">B0384</t>
  </si>
  <si>
    <t xml:space="preserve">B0385</t>
  </si>
  <si>
    <t xml:space="preserve">B0386</t>
  </si>
  <si>
    <t xml:space="preserve">B0387</t>
  </si>
  <si>
    <t xml:space="preserve">B0388</t>
  </si>
  <si>
    <t xml:space="preserve">Value as typed</t>
  </si>
  <si>
    <t xml:space="preserve">ISO 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</si>
</sst>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A57"/>
      <name val="Arial"/>
      <family val="0"/>
      <charset val="1"/>
    </font>
    <font>
      <i val="true"/>
      <sz val="11"/>
      <color rgb="FF4F5F6E"/>
      <name val="Arial"/>
      <family val="0"/>
      <charset val="1"/>
    </font>
    <font>
      <b val="true"/>
      <sz val="11"/>
      <color rgb="FFE8743B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A57"/>
        <bgColor rgb="FF333333"/>
      </patternFill>
    </fill>
    <fill>
      <patternFill patternType="solid">
        <fgColor rgb="FFE8743B"/>
        <bgColor rgb="FFFF8080"/>
      </patternFill>
    </fill>
    <fill>
      <patternFill patternType="solid">
        <fgColor rgb="FFFFF4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3A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743B"/>
          <bgColor rgb="FF000000"/>
        </patternFill>
      </fill>
    </dxf>
    <dxf>
      <fill>
        <patternFill patternType="solid">
          <fgColor rgb="FFFFF4EC"/>
          <bgColor rgb="FF000000"/>
        </patternFill>
      </fill>
    </dxf>
    <dxf>
      <fill>
        <patternFill patternType="solid">
          <fgColor rgb="FFF8D0C4"/>
          <bgColor rgb="FF000000"/>
        </patternFill>
      </fill>
    </dxf>
    <dxf>
      <fill>
        <patternFill patternType="solid">
          <fgColor rgb="FF9C2A00"/>
          <bgColor rgb="FF000000"/>
        </patternFill>
      </fill>
    </dxf>
    <dxf>
      <fill>
        <patternFill>
          <bgColor rgb="FFF8D0C4"/>
        </patternFill>
      </fill>
    </dxf>
    <dxf>
      <font>
        <name val="Arial"/>
        <charset val="1"/>
        <family val="0"/>
        <b val="1"/>
        <color rgb="FF9C2A00"/>
      </font>
      <fill>
        <patternFill>
          <bgColor rgb="FFF8D0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0C4"/>
      <rgbColor rgb="FF3366FF"/>
      <rgbColor rgb="FF33CCCC"/>
      <rgbColor rgb="FF99CC00"/>
      <rgbColor rgb="FFFFCC00"/>
      <rgbColor rgb="FFFF9900"/>
      <rgbColor rgb="FFE8743B"/>
      <rgbColor rgb="FF4F5F6E"/>
      <rgbColor rgb="FF969696"/>
      <rgbColor rgb="FF123A57"/>
      <rgbColor rgb="FF339966"/>
      <rgbColor rgb="FF003300"/>
      <rgbColor rgb="FF333300"/>
      <rgbColor rgb="FF9C2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4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COUNTA(Customers_Raw!A2:A21)</f>
        <v>20</v>
      </c>
      <c r="D5" s="4" t="s">
        <v>5</v>
      </c>
    </row>
    <row r="6" customFormat="false" ht="15" hidden="false" customHeight="false" outlineLevel="0" collapsed="false">
      <c r="A6" s="4" t="s">
        <v>6</v>
      </c>
      <c r="B6" s="5" t="n">
        <f aca="false">COUNTA(Customer_Master!A2:A13)</f>
        <v>12</v>
      </c>
      <c r="D6" s="4" t="s">
        <v>7</v>
      </c>
    </row>
    <row r="7" customFormat="false" ht="15" hidden="false" customHeight="false" outlineLevel="0" collapsed="false">
      <c r="A7" s="4" t="s">
        <v>8</v>
      </c>
      <c r="B7" s="5" t="n">
        <f aca="false">B5-B6</f>
        <v>8</v>
      </c>
      <c r="D7" s="4" t="s">
        <v>9</v>
      </c>
    </row>
    <row r="8" customFormat="false" ht="15" hidden="false" customHeight="false" outlineLevel="0" collapsed="false">
      <c r="A8" s="4" t="s">
        <v>10</v>
      </c>
      <c r="B8" s="6" t="n">
        <f aca="false">IF(B5=0,0,B7/B5)</f>
        <v>0.4</v>
      </c>
      <c r="D8" s="4" t="s">
        <v>11</v>
      </c>
    </row>
    <row r="9" customFormat="false" ht="15" hidden="false" customHeight="false" outlineLevel="0" collapsed="false">
      <c r="A9" s="4" t="s">
        <v>12</v>
      </c>
      <c r="B9" s="5" t="n">
        <f aca="false">COUNTIF(Customers_Raw!F2:F21,"Possible duplicate")</f>
        <v>13</v>
      </c>
      <c r="D9" s="4" t="s">
        <v>13</v>
      </c>
    </row>
    <row r="10" customFormat="false" ht="15" hidden="false" customHeight="false" outlineLevel="0" collapsed="false">
      <c r="A10" s="4" t="s">
        <v>14</v>
      </c>
      <c r="B10" s="5" t="n">
        <f aca="false">COUNTIF(Customers_Raw!H2:H21,"&lt;&gt;OK")</f>
        <v>8</v>
      </c>
      <c r="D10" s="4" t="s">
        <v>15</v>
      </c>
    </row>
    <row r="11" customFormat="false" ht="15" hidden="false" customHeight="false" outlineLevel="0" collapsed="false">
      <c r="A11" s="4" t="s">
        <v>16</v>
      </c>
      <c r="B11" s="5" t="n">
        <f aca="false">COUNTIF(Customers_Raw!I2:I21,"Missing owner")</f>
        <v>3</v>
      </c>
    </row>
    <row r="12" customFormat="false" ht="15" hidden="false" customHeight="false" outlineLevel="0" collapsed="false">
      <c r="A12" s="4" t="s">
        <v>17</v>
      </c>
      <c r="B12" s="5" t="n">
        <f aca="false">COUNTIF(Customers_Raw!L2:L21,"To fix")</f>
        <v>15</v>
      </c>
    </row>
    <row r="13" customFormat="false" ht="15" hidden="false" customHeight="false" outlineLevel="0" collapsed="false">
      <c r="A13" s="3" t="s">
        <v>18</v>
      </c>
    </row>
    <row r="14" customFormat="false" ht="15" hidden="false" customHeight="false" outlineLevel="0" collapsed="false">
      <c r="A14" s="4" t="s">
        <v>19</v>
      </c>
      <c r="B14" s="5" t="n">
        <f aca="false">COUNTA(Bookings!A2:A389)</f>
        <v>388</v>
      </c>
    </row>
    <row r="15" customFormat="false" ht="15" hidden="false" customHeight="false" outlineLevel="0" collapsed="false">
      <c r="A15" s="4" t="s">
        <v>20</v>
      </c>
      <c r="B15" s="5" t="n">
        <f aca="false">SUM(Bookings!F2:F389)</f>
        <v>5337292</v>
      </c>
    </row>
    <row r="16" customFormat="false" ht="15" hidden="false" customHeight="false" outlineLevel="0" collapsed="false">
      <c r="A16" s="4" t="s">
        <v>21</v>
      </c>
      <c r="B16" s="5" t="n">
        <f aca="false">COUNTIF(Bookings!G2:G389,"UNMATCHED")</f>
        <v>18</v>
      </c>
    </row>
    <row r="17" customFormat="false" ht="15" hidden="false" customHeight="false" outlineLevel="0" collapsed="false">
      <c r="A17" s="4" t="s">
        <v>22</v>
      </c>
      <c r="B17" s="6" t="n">
        <f aca="false">IF(B15=0,0,SUMIFS(Bookings!F2:F389,Bookings!G2:G389,"UNMATCHED")/B15)</f>
        <v>0.0275986399095272</v>
      </c>
    </row>
    <row r="18" customFormat="false" ht="15" hidden="false" customHeight="false" outlineLevel="0" collapsed="false">
      <c r="A18" s="4" t="s">
        <v>23</v>
      </c>
      <c r="B18" s="7" t="str">
        <f aca="false">IF(ABS(SUM(Customer_Master!G2:G13)+SUMIFS(Bookings!F2:F389,Bookings!G2:G389,"UNMATCHED")-B15)&lt;1,"OK – totals match","CHECK!")</f>
        <v>OK – totals match</v>
      </c>
    </row>
    <row r="19" customFormat="false" ht="15" hidden="false" customHeight="false" outlineLevel="0" collapsed="false">
      <c r="A19" s="3" t="s">
        <v>24</v>
      </c>
    </row>
    <row r="20" customFormat="false" ht="15" hidden="false" customHeight="false" outlineLevel="0" collapsed="false">
      <c r="A20" s="4" t="s">
        <v>25</v>
      </c>
      <c r="B20" s="7" t="str">
        <f aca="false">INDEX(Customers_Raw!B2:B21,MATCH(1,Customers_Raw!K2:K21,0))</f>
        <v>Shanghai Textiles Co</v>
      </c>
    </row>
    <row r="21" customFormat="false" ht="15" hidden="false" customHeight="false" outlineLevel="0" collapsed="false">
      <c r="A21" s="4" t="s">
        <v>26</v>
      </c>
      <c r="B21" s="7" t="str">
        <f aca="false">INDEX(Customer_Master!B2:B13,MATCH(1,Customer_Master!H2:H13,0))</f>
        <v>Nordic Foods AB</v>
      </c>
    </row>
    <row r="22" customFormat="false" ht="15" hidden="false" customHeight="false" outlineLevel="0" collapsed="false">
      <c r="A22" s="4" t="s">
        <v>27</v>
      </c>
      <c r="B22" s="6" t="n">
        <f aca="false">SUMPRODUCT((Customers_Raw!K2:K21&lt;=4)*Customers_Raw!J2:J21)/B15</f>
        <v>0.305864472095587</v>
      </c>
    </row>
    <row r="23" customFormat="false" ht="15" hidden="false" customHeight="false" outlineLevel="0" collapsed="false">
      <c r="A23" s="4" t="s">
        <v>28</v>
      </c>
      <c r="B23" s="6" t="n">
        <f aca="false">SUMPRODUCT((Customer_Master!H2:H13&lt;=4)*Customer_Master!G2:G13)/B15</f>
        <v>0.465892441335419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2" min="11" style="0" width="10"/>
  </cols>
  <sheetData>
    <row r="1" customFormat="false" ht="31.5" hidden="false" customHeight="tru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</row>
    <row r="2" customFormat="false" ht="15" hidden="false" customHeight="fals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10" t="str">
        <f aca="false">IFERROR(LEFT(UPPER(TRIM(SUBSTITUTE(SUBSTITUTE(B2,".",""),",",""))),FIND(" ",UPPER(TRIM(SUBSTITUTE(SUBSTITUTE(B2,".",""),",",""))),FIND(" ",UPPER(TRIM(SUBSTITUTE(SUBSTITUTE(B2,".",""),",",""))))+1)-1),UPPER(TRIM(SUBSTITUTE(SUBSTITUTE(B2,".",""),",",""))))</f>
        <v>NORDIC FOODS</v>
      </c>
      <c r="F2" s="10" t="str">
        <f aca="false">IF(COUNTIF($E$2:$E$21,E2)&gt;1,"Possible duplicate","OK")</f>
        <v>Possible duplicate</v>
      </c>
      <c r="G2" s="10" t="str">
        <f aca="false">IF(TRIM(C2)="","",IFERROR(INDEX(Country_Map!$B$2:$B$100,MATCH(C2,Country_Map!$A$2:$A$100,0)),"?"))</f>
        <v>SE</v>
      </c>
      <c r="H2" s="10" t="str">
        <f aca="false">IF(TRIM(C2)="","Missing",IF(G2="?","Unknown value",IF(EXACT(C2,G2),"OK","Non-standard")))</f>
        <v>OK</v>
      </c>
      <c r="I2" s="10" t="str">
        <f aca="false">IF(TRIM(D2)="","Missing owner","OK")</f>
        <v>OK</v>
      </c>
      <c r="J2" s="11" t="n">
        <f aca="false">SUMIFS(Bookings!$F:$F,Bookings!$B:$B,A2)</f>
        <v>363254</v>
      </c>
      <c r="K2" s="10" t="n">
        <f aca="false">RANK(J2,$J$2:$J$21)</f>
        <v>3</v>
      </c>
      <c r="L2" s="10" t="str">
        <f aca="false">IF(AND(F2="OK",H2="OK",I2="OK"),"Clean","To fix")</f>
        <v>To fix</v>
      </c>
    </row>
    <row r="3" customFormat="false" ht="15" hidden="false" customHeight="false" outlineLevel="0" collapsed="false">
      <c r="A3" s="4" t="s">
        <v>45</v>
      </c>
      <c r="B3" s="4" t="s">
        <v>46</v>
      </c>
      <c r="C3" s="4" t="s">
        <v>47</v>
      </c>
      <c r="D3" s="4"/>
      <c r="E3" s="10" t="str">
        <f aca="false">IFERROR(LEFT(UPPER(TRIM(SUBSTITUTE(SUBSTITUTE(B3,".",""),",",""))),FIND(" ",UPPER(TRIM(SUBSTITUTE(SUBSTITUTE(B3,".",""),",",""))),FIND(" ",UPPER(TRIM(SUBSTITUTE(SUBSTITUTE(B3,".",""),",",""))))+1)-1),UPPER(TRIM(SUBSTITUTE(SUBSTITUTE(B3,".",""),",",""))))</f>
        <v>NORDIC FOODS</v>
      </c>
      <c r="F3" s="10" t="str">
        <f aca="false">IF(COUNTIF($E$2:$E$21,E3)&gt;1,"Possible duplicate","OK")</f>
        <v>Possible duplicate</v>
      </c>
      <c r="G3" s="10" t="str">
        <f aca="false">IF(TRIM(C3)="","",IFERROR(INDEX(Country_Map!$B$2:$B$100,MATCH(C3,Country_Map!$A$2:$A$100,0)),"?"))</f>
        <v>SE</v>
      </c>
      <c r="H3" s="10" t="str">
        <f aca="false">IF(TRIM(C3)="","Missing",IF(G3="?","Unknown value",IF(EXACT(C3,G3),"OK","Non-standard")))</f>
        <v>Non-standard</v>
      </c>
      <c r="I3" s="10" t="str">
        <f aca="false">IF(TRIM(D3)="","Missing owner","OK")</f>
        <v>Missing owner</v>
      </c>
      <c r="J3" s="11" t="n">
        <f aca="false">SUMIFS(Bookings!$F:$F,Bookings!$B:$B,A3)</f>
        <v>211932</v>
      </c>
      <c r="K3" s="10" t="n">
        <f aca="false">RANK(J3,$J$2:$J$21)</f>
        <v>15</v>
      </c>
      <c r="L3" s="10" t="str">
        <f aca="false">IF(AND(F3="OK",H3="OK",I3="OK"),"Clean","To fix")</f>
        <v>To fix</v>
      </c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44</v>
      </c>
      <c r="E4" s="10" t="str">
        <f aca="false">IFERROR(LEFT(UPPER(TRIM(SUBSTITUTE(SUBSTITUTE(B4,".",""),",",""))),FIND(" ",UPPER(TRIM(SUBSTITUTE(SUBSTITUTE(B4,".",""),",",""))),FIND(" ",UPPER(TRIM(SUBSTITUTE(SUBSTITUTE(B4,".",""),",",""))))+1)-1),UPPER(TRIM(SUBSTITUTE(SUBSTITUTE(B4,".",""),",",""))))</f>
        <v>NORDIC FOODS</v>
      </c>
      <c r="F4" s="10" t="str">
        <f aca="false">IF(COUNTIF($E$2:$E$21,E4)&gt;1,"Possible duplicate","OK")</f>
        <v>Possible duplicate</v>
      </c>
      <c r="G4" s="10" t="str">
        <f aca="false">IF(TRIM(C4)="","",IFERROR(INDEX(Country_Map!$B$2:$B$100,MATCH(C4,Country_Map!$A$2:$A$100,0)),"?"))</f>
        <v>SE</v>
      </c>
      <c r="H4" s="10" t="str">
        <f aca="false">IF(TRIM(C4)="","Missing",IF(G4="?","Unknown value",IF(EXACT(C4,G4),"OK","Non-standard")))</f>
        <v>Non-standard</v>
      </c>
      <c r="I4" s="10" t="str">
        <f aca="false">IF(TRIM(D4)="","Missing owner","OK")</f>
        <v>OK</v>
      </c>
      <c r="J4" s="11" t="n">
        <f aca="false">SUMIFS(Bookings!$F:$F,Bookings!$B:$B,A4)</f>
        <v>257260</v>
      </c>
      <c r="K4" s="10" t="n">
        <f aca="false">RANK(J4,$J$2:$J$21)</f>
        <v>7</v>
      </c>
      <c r="L4" s="10" t="str">
        <f aca="false">IF(AND(F4="OK",H4="OK",I4="OK"),"Clean","To fix")</f>
        <v>To fix</v>
      </c>
    </row>
    <row r="5" customFormat="false" ht="15" hidden="false" customHeight="false" outlineLevel="0" collapsed="false">
      <c r="A5" s="4" t="s">
        <v>51</v>
      </c>
      <c r="B5" s="4" t="s">
        <v>52</v>
      </c>
      <c r="C5" s="4" t="s">
        <v>53</v>
      </c>
      <c r="D5" s="4" t="s">
        <v>54</v>
      </c>
      <c r="E5" s="10" t="str">
        <f aca="false">IFERROR(LEFT(UPPER(TRIM(SUBSTITUTE(SUBSTITUTE(B5,".",""),",",""))),FIND(" ",UPPER(TRIM(SUBSTITUTE(SUBSTITUTE(B5,".",""),",",""))),FIND(" ",UPPER(TRIM(SUBSTITUTE(SUBSTITUTE(B5,".",""),",",""))))+1)-1),UPPER(TRIM(SUBSTITUTE(SUBSTITUTE(B5,".",""),",",""))))</f>
        <v>ALPHA LOGISTICS</v>
      </c>
      <c r="F5" s="10" t="str">
        <f aca="false">IF(COUNTIF($E$2:$E$21,E5)&gt;1,"Possible duplicate","OK")</f>
        <v>Possible duplicate</v>
      </c>
      <c r="G5" s="10" t="str">
        <f aca="false">IF(TRIM(C5)="","",IFERROR(INDEX(Country_Map!$B$2:$B$100,MATCH(C5,Country_Map!$A$2:$A$100,0)),"?"))</f>
        <v>DE</v>
      </c>
      <c r="H5" s="10" t="str">
        <f aca="false">IF(TRIM(C5)="","Missing",IF(G5="?","Unknown value",IF(EXACT(C5,G5),"OK","Non-standard")))</f>
        <v>OK</v>
      </c>
      <c r="I5" s="10" t="str">
        <f aca="false">IF(TRIM(D5)="","Missing owner","OK")</f>
        <v>OK</v>
      </c>
      <c r="J5" s="11" t="n">
        <f aca="false">SUMIFS(Bookings!$F:$F,Bookings!$B:$B,A5)</f>
        <v>251824</v>
      </c>
      <c r="K5" s="10" t="n">
        <f aca="false">RANK(J5,$J$2:$J$21)</f>
        <v>9</v>
      </c>
      <c r="L5" s="10" t="str">
        <f aca="false">IF(AND(F5="OK",H5="OK",I5="OK"),"Clean","To fix")</f>
        <v>To fix</v>
      </c>
    </row>
    <row r="6" customFormat="false" ht="15" hidden="false" customHeight="false" outlineLevel="0" collapsed="false">
      <c r="A6" s="4" t="s">
        <v>55</v>
      </c>
      <c r="B6" s="4" t="s">
        <v>56</v>
      </c>
      <c r="C6" s="4" t="s">
        <v>57</v>
      </c>
      <c r="D6" s="4" t="s">
        <v>54</v>
      </c>
      <c r="E6" s="10" t="str">
        <f aca="false">IFERROR(LEFT(UPPER(TRIM(SUBSTITUTE(SUBSTITUTE(B6,".",""),",",""))),FIND(" ",UPPER(TRIM(SUBSTITUTE(SUBSTITUTE(B6,".",""),",",""))),FIND(" ",UPPER(TRIM(SUBSTITUTE(SUBSTITUTE(B6,".",""),",",""))))+1)-1),UPPER(TRIM(SUBSTITUTE(SUBSTITUTE(B6,".",""),",",""))))</f>
        <v>ALPHA LOGISTICS</v>
      </c>
      <c r="F6" s="10" t="str">
        <f aca="false">IF(COUNTIF($E$2:$E$21,E6)&gt;1,"Possible duplicate","OK")</f>
        <v>Possible duplicate</v>
      </c>
      <c r="G6" s="10" t="str">
        <f aca="false">IF(TRIM(C6)="","",IFERROR(INDEX(Country_Map!$B$2:$B$100,MATCH(C6,Country_Map!$A$2:$A$100,0)),"?"))</f>
        <v>DE</v>
      </c>
      <c r="H6" s="10" t="str">
        <f aca="false">IF(TRIM(C6)="","Missing",IF(G6="?","Unknown value",IF(EXACT(C6,G6),"OK","Non-standard")))</f>
        <v>Non-standard</v>
      </c>
      <c r="I6" s="10" t="str">
        <f aca="false">IF(TRIM(D6)="","Missing owner","OK")</f>
        <v>OK</v>
      </c>
      <c r="J6" s="11" t="n">
        <f aca="false">SUMIFS(Bookings!$F:$F,Bookings!$B:$B,A6)</f>
        <v>411398</v>
      </c>
      <c r="K6" s="10" t="n">
        <f aca="false">RANK(J6,$J$2:$J$21)</f>
        <v>2</v>
      </c>
      <c r="L6" s="10" t="str">
        <f aca="false">IF(AND(F6="OK",H6="OK",I6="OK"),"Clean","To fix")</f>
        <v>To fix</v>
      </c>
    </row>
    <row r="7" customFormat="false" ht="15" hidden="false" customHeight="false" outlineLevel="0" collapsed="false">
      <c r="A7" s="4" t="s">
        <v>58</v>
      </c>
      <c r="B7" s="4" t="s">
        <v>59</v>
      </c>
      <c r="C7" s="4" t="s">
        <v>60</v>
      </c>
      <c r="D7" s="4" t="s">
        <v>61</v>
      </c>
      <c r="E7" s="10" t="str">
        <f aca="false">IFERROR(LEFT(UPPER(TRIM(SUBSTITUTE(SUBSTITUTE(B7,".",""),",",""))),FIND(" ",UPPER(TRIM(SUBSTITUTE(SUBSTITUTE(B7,".",""),",",""))),FIND(" ",UPPER(TRIM(SUBSTITUTE(SUBSTITUTE(B7,".",""),",",""))))+1)-1),UPPER(TRIM(SUBSTITUTE(SUBSTITUTE(B7,".",""),",",""))))</f>
        <v>PACIFIC FRESH</v>
      </c>
      <c r="F7" s="10" t="str">
        <f aca="false">IF(COUNTIF($E$2:$E$21,E7)&gt;1,"Possible duplicate","OK")</f>
        <v>Possible duplicate</v>
      </c>
      <c r="G7" s="10" t="str">
        <f aca="false">IF(TRIM(C7)="","",IFERROR(INDEX(Country_Map!$B$2:$B$100,MATCH(C7,Country_Map!$A$2:$A$100,0)),"?"))</f>
        <v>SG</v>
      </c>
      <c r="H7" s="10" t="str">
        <f aca="false">IF(TRIM(C7)="","Missing",IF(G7="?","Unknown value",IF(EXACT(C7,G7),"OK","Non-standard")))</f>
        <v>OK</v>
      </c>
      <c r="I7" s="10" t="str">
        <f aca="false">IF(TRIM(D7)="","Missing owner","OK")</f>
        <v>OK</v>
      </c>
      <c r="J7" s="11" t="n">
        <f aca="false">SUMIFS(Bookings!$F:$F,Bookings!$B:$B,A7)</f>
        <v>233480</v>
      </c>
      <c r="K7" s="10" t="n">
        <f aca="false">RANK(J7,$J$2:$J$21)</f>
        <v>10</v>
      </c>
      <c r="L7" s="10" t="str">
        <f aca="false">IF(AND(F7="OK",H7="OK",I7="OK"),"Clean","To fix")</f>
        <v>To fix</v>
      </c>
    </row>
    <row r="8" customFormat="false" ht="15" hidden="false" customHeight="false" outlineLevel="0" collapsed="false">
      <c r="A8" s="4" t="s">
        <v>62</v>
      </c>
      <c r="B8" s="4" t="s">
        <v>63</v>
      </c>
      <c r="C8" s="4"/>
      <c r="D8" s="4" t="s">
        <v>61</v>
      </c>
      <c r="E8" s="10" t="str">
        <f aca="false">IFERROR(LEFT(UPPER(TRIM(SUBSTITUTE(SUBSTITUTE(B8,".",""),",",""))),FIND(" ",UPPER(TRIM(SUBSTITUTE(SUBSTITUTE(B8,".",""),",",""))),FIND(" ",UPPER(TRIM(SUBSTITUTE(SUBSTITUTE(B8,".",""),",",""))))+1)-1),UPPER(TRIM(SUBSTITUTE(SUBSTITUTE(B8,".",""),",",""))))</f>
        <v>PACIFIC FRESH</v>
      </c>
      <c r="F8" s="10" t="str">
        <f aca="false">IF(COUNTIF($E$2:$E$21,E8)&gt;1,"Possible duplicate","OK")</f>
        <v>Possible duplicate</v>
      </c>
      <c r="G8" s="10" t="str">
        <f aca="false">IF(TRIM(C8)="","",IFERROR(INDEX(Country_Map!$B$2:$B$100,MATCH(C8,Country_Map!$A$2:$A$100,0)),"?"))</f>
        <v/>
      </c>
      <c r="H8" s="10" t="str">
        <f aca="false">IF(TRIM(C8)="","Missing",IF(G8="?","Unknown value",IF(EXACT(C8,G8),"OK","Non-standard")))</f>
        <v>Missing</v>
      </c>
      <c r="I8" s="10" t="str">
        <f aca="false">IF(TRIM(D8)="","Missing owner","OK")</f>
        <v>OK</v>
      </c>
      <c r="J8" s="11" t="n">
        <f aca="false">SUMIFS(Bookings!$F:$F,Bookings!$B:$B,A8)</f>
        <v>223742</v>
      </c>
      <c r="K8" s="10" t="n">
        <f aca="false">RANK(J8,$J$2:$J$21)</f>
        <v>12</v>
      </c>
      <c r="L8" s="10" t="str">
        <f aca="false">IF(AND(F8="OK",H8="OK",I8="OK"),"Clean","To fix")</f>
        <v>To fix</v>
      </c>
    </row>
    <row r="9" customFormat="false" ht="15" hidden="false" customHeight="false" outlineLevel="0" collapsed="false">
      <c r="A9" s="4" t="s">
        <v>64</v>
      </c>
      <c r="B9" s="4" t="s">
        <v>65</v>
      </c>
      <c r="C9" s="4" t="s">
        <v>66</v>
      </c>
      <c r="D9" s="4" t="s">
        <v>67</v>
      </c>
      <c r="E9" s="10" t="str">
        <f aca="false">IFERROR(LEFT(UPPER(TRIM(SUBSTITUTE(SUBSTITUTE(B9,".",""),",",""))),FIND(" ",UPPER(TRIM(SUBSTITUTE(SUBSTITUTE(B9,".",""),",",""))),FIND(" ",UPPER(TRIM(SUBSTITUTE(SUBSTITUTE(B9,".",""),",",""))))+1)-1),UPPER(TRIM(SUBSTITUTE(SUBSTITUTE(B9,".",""),",",""))))</f>
        <v>ANDES FRUIT</v>
      </c>
      <c r="F9" s="10" t="str">
        <f aca="false">IF(COUNTIF($E$2:$E$21,E9)&gt;1,"Possible duplicate","OK")</f>
        <v>Possible duplicate</v>
      </c>
      <c r="G9" s="10" t="str">
        <f aca="false">IF(TRIM(C9)="","",IFERROR(INDEX(Country_Map!$B$2:$B$100,MATCH(C9,Country_Map!$A$2:$A$100,0)),"?"))</f>
        <v>CL</v>
      </c>
      <c r="H9" s="10" t="str">
        <f aca="false">IF(TRIM(C9)="","Missing",IF(G9="?","Unknown value",IF(EXACT(C9,G9),"OK","Non-standard")))</f>
        <v>OK</v>
      </c>
      <c r="I9" s="10" t="str">
        <f aca="false">IF(TRIM(D9)="","Missing owner","OK")</f>
        <v>OK</v>
      </c>
      <c r="J9" s="11" t="n">
        <f aca="false">SUMIFS(Bookings!$F:$F,Bookings!$B:$B,A9)</f>
        <v>209942</v>
      </c>
      <c r="K9" s="10" t="n">
        <f aca="false">RANK(J9,$J$2:$J$21)</f>
        <v>16</v>
      </c>
      <c r="L9" s="10" t="str">
        <f aca="false">IF(AND(F9="OK",H9="OK",I9="OK"),"Clean","To fix")</f>
        <v>To fix</v>
      </c>
    </row>
    <row r="10" customFormat="false" ht="15" hidden="false" customHeight="false" outlineLevel="0" collapsed="false">
      <c r="A10" s="4" t="s">
        <v>68</v>
      </c>
      <c r="B10" s="4" t="s">
        <v>69</v>
      </c>
      <c r="C10" s="4" t="s">
        <v>70</v>
      </c>
      <c r="D10" s="4"/>
      <c r="E10" s="10" t="str">
        <f aca="false">IFERROR(LEFT(UPPER(TRIM(SUBSTITUTE(SUBSTITUTE(B10,".",""),",",""))),FIND(" ",UPPER(TRIM(SUBSTITUTE(SUBSTITUTE(B10,".",""),",",""))),FIND(" ",UPPER(TRIM(SUBSTITUTE(SUBSTITUTE(B10,".",""),",",""))))+1)-1),UPPER(TRIM(SUBSTITUTE(SUBSTITUTE(B10,".",""),",",""))))</f>
        <v>ANDES FRUIT</v>
      </c>
      <c r="F10" s="10" t="str">
        <f aca="false">IF(COUNTIF($E$2:$E$21,E10)&gt;1,"Possible duplicate","OK")</f>
        <v>Possible duplicate</v>
      </c>
      <c r="G10" s="10" t="str">
        <f aca="false">IF(TRIM(C10)="","",IFERROR(INDEX(Country_Map!$B$2:$B$100,MATCH(C10,Country_Map!$A$2:$A$100,0)),"?"))</f>
        <v>CL</v>
      </c>
      <c r="H10" s="10" t="str">
        <f aca="false">IF(TRIM(C10)="","Missing",IF(G10="?","Unknown value",IF(EXACT(C10,G10),"OK","Non-standard")))</f>
        <v>Non-standard</v>
      </c>
      <c r="I10" s="10" t="str">
        <f aca="false">IF(TRIM(D10)="","Missing owner","OK")</f>
        <v>Missing owner</v>
      </c>
      <c r="J10" s="11" t="n">
        <f aca="false">SUMIFS(Bookings!$F:$F,Bookings!$B:$B,A10)</f>
        <v>227374</v>
      </c>
      <c r="K10" s="10" t="n">
        <f aca="false">RANK(J10,$J$2:$J$21)</f>
        <v>11</v>
      </c>
      <c r="L10" s="10" t="str">
        <f aca="false">IF(AND(F10="OK",H10="OK",I10="OK"),"Clean","To fix")</f>
        <v>To fix</v>
      </c>
    </row>
    <row r="11" customFormat="false" ht="15" hidden="false" customHeight="false" outlineLevel="0" collapsed="false">
      <c r="A11" s="4" t="s">
        <v>71</v>
      </c>
      <c r="B11" s="4" t="s">
        <v>72</v>
      </c>
      <c r="C11" s="4" t="s">
        <v>53</v>
      </c>
      <c r="D11" s="4" t="s">
        <v>54</v>
      </c>
      <c r="E11" s="10" t="str">
        <f aca="false">IFERROR(LEFT(UPPER(TRIM(SUBSTITUTE(SUBSTITUTE(B11,".",""),",",""))),FIND(" ",UPPER(TRIM(SUBSTITUTE(SUBSTITUTE(B11,".",""),",",""))),FIND(" ",UPPER(TRIM(SUBSTITUTE(SUBSTITUTE(B11,".",""),",",""))))+1)-1),UPPER(TRIM(SUBSTITUTE(SUBSTITUTE(B11,".",""),",",""))))</f>
        <v>BREMEN MACHINERY</v>
      </c>
      <c r="F11" s="10" t="str">
        <f aca="false">IF(COUNTIF($E$2:$E$21,E11)&gt;1,"Possible duplicate","OK")</f>
        <v>Possible duplicate</v>
      </c>
      <c r="G11" s="10" t="str">
        <f aca="false">IF(TRIM(C11)="","",IFERROR(INDEX(Country_Map!$B$2:$B$100,MATCH(C11,Country_Map!$A$2:$A$100,0)),"?"))</f>
        <v>DE</v>
      </c>
      <c r="H11" s="10" t="str">
        <f aca="false">IF(TRIM(C11)="","Missing",IF(G11="?","Unknown value",IF(EXACT(C11,G11),"OK","Non-standard")))</f>
        <v>OK</v>
      </c>
      <c r="I11" s="10" t="str">
        <f aca="false">IF(TRIM(D11)="","Missing owner","OK")</f>
        <v>OK</v>
      </c>
      <c r="J11" s="11" t="n">
        <f aca="false">SUMIFS(Bookings!$F:$F,Bookings!$B:$B,A11)</f>
        <v>215824</v>
      </c>
      <c r="K11" s="10" t="n">
        <f aca="false">RANK(J11,$J$2:$J$21)</f>
        <v>13</v>
      </c>
      <c r="L11" s="10" t="str">
        <f aca="false">IF(AND(F11="OK",H11="OK",I11="OK"),"Clean","To fix")</f>
        <v>To fix</v>
      </c>
    </row>
    <row r="12" customFormat="false" ht="15" hidden="false" customHeight="false" outlineLevel="0" collapsed="false">
      <c r="A12" s="4" t="s">
        <v>73</v>
      </c>
      <c r="B12" s="4" t="s">
        <v>74</v>
      </c>
      <c r="C12" s="4" t="s">
        <v>75</v>
      </c>
      <c r="D12" s="4" t="s">
        <v>76</v>
      </c>
      <c r="E12" s="10" t="str">
        <f aca="false">IFERROR(LEFT(UPPER(TRIM(SUBSTITUTE(SUBSTITUTE(B12,".",""),",",""))),FIND(" ",UPPER(TRIM(SUBSTITUTE(SUBSTITUTE(B12,".",""),",",""))),FIND(" ",UPPER(TRIM(SUBSTITUTE(SUBSTITUTE(B12,".",""),",",""))))+1)-1),UPPER(TRIM(SUBSTITUTE(SUBSTITUTE(B12,".",""),",",""))))</f>
        <v>ATLANTIC CHEM</v>
      </c>
      <c r="F12" s="10" t="str">
        <f aca="false">IF(COUNTIF($E$2:$E$21,E12)&gt;1,"Possible duplicate","OK")</f>
        <v>OK</v>
      </c>
      <c r="G12" s="10" t="str">
        <f aca="false">IF(TRIM(C12)="","",IFERROR(INDEX(Country_Map!$B$2:$B$100,MATCH(C12,Country_Map!$A$2:$A$100,0)),"?"))</f>
        <v>US</v>
      </c>
      <c r="H12" s="10" t="str">
        <f aca="false">IF(TRIM(C12)="","Missing",IF(G12="?","Unknown value",IF(EXACT(C12,G12),"OK","Non-standard")))</f>
        <v>OK</v>
      </c>
      <c r="I12" s="10" t="str">
        <f aca="false">IF(TRIM(D12)="","Missing owner","OK")</f>
        <v>OK</v>
      </c>
      <c r="J12" s="11" t="n">
        <f aca="false">SUMIFS(Bookings!$F:$F,Bookings!$B:$B,A12)</f>
        <v>146368</v>
      </c>
      <c r="K12" s="10" t="n">
        <f aca="false">RANK(J12,$J$2:$J$21)</f>
        <v>19</v>
      </c>
      <c r="L12" s="10" t="str">
        <f aca="false">IF(AND(F12="OK",H12="OK",I12="OK"),"Clean","To fix")</f>
        <v>Clean</v>
      </c>
    </row>
    <row r="13" customFormat="false" ht="15" hidden="false" customHeight="false" outlineLevel="0" collapsed="false">
      <c r="A13" s="4" t="s">
        <v>77</v>
      </c>
      <c r="B13" s="4" t="s">
        <v>78</v>
      </c>
      <c r="C13" s="4" t="s">
        <v>79</v>
      </c>
      <c r="D13" s="4" t="s">
        <v>76</v>
      </c>
      <c r="E13" s="10" t="str">
        <f aca="false">IFERROR(LEFT(UPPER(TRIM(SUBSTITUTE(SUBSTITUTE(B13,".",""),",",""))),FIND(" ",UPPER(TRIM(SUBSTITUTE(SUBSTITUTE(B13,".",""),",",""))),FIND(" ",UPPER(TRIM(SUBSTITUTE(SUBSTITUTE(B13,".",""),",",""))))+1)-1),UPPER(TRIM(SUBSTITUTE(SUBSTITUTE(B13,".",""),",",""))))</f>
        <v>ATLANTIC CHEMICALS</v>
      </c>
      <c r="F13" s="10" t="str">
        <f aca="false">IF(COUNTIF($E$2:$E$21,E13)&gt;1,"Possible duplicate","OK")</f>
        <v>OK</v>
      </c>
      <c r="G13" s="10" t="str">
        <f aca="false">IF(TRIM(C13)="","",IFERROR(INDEX(Country_Map!$B$2:$B$100,MATCH(C13,Country_Map!$A$2:$A$100,0)),"?"))</f>
        <v>US</v>
      </c>
      <c r="H13" s="10" t="str">
        <f aca="false">IF(TRIM(C13)="","Missing",IF(G13="?","Unknown value",IF(EXACT(C13,G13),"OK","Non-standard")))</f>
        <v>Non-standard</v>
      </c>
      <c r="I13" s="10" t="str">
        <f aca="false">IF(TRIM(D13)="","Missing owner","OK")</f>
        <v>OK</v>
      </c>
      <c r="J13" s="11" t="n">
        <f aca="false">SUMIFS(Bookings!$F:$F,Bookings!$B:$B,A13)</f>
        <v>215388</v>
      </c>
      <c r="K13" s="10" t="n">
        <f aca="false">RANK(J13,$J$2:$J$21)</f>
        <v>14</v>
      </c>
      <c r="L13" s="10" t="str">
        <f aca="false">IF(AND(F13="OK",H13="OK",I13="OK"),"Clean","To fix")</f>
        <v>To fix</v>
      </c>
    </row>
    <row r="14" customFormat="false" ht="15" hidden="false" customHeight="false" outlineLevel="0" collapsed="false">
      <c r="A14" s="4" t="s">
        <v>80</v>
      </c>
      <c r="B14" s="4" t="s">
        <v>81</v>
      </c>
      <c r="C14" s="4" t="s">
        <v>82</v>
      </c>
      <c r="D14" s="4" t="s">
        <v>61</v>
      </c>
      <c r="E14" s="10" t="str">
        <f aca="false">IFERROR(LEFT(UPPER(TRIM(SUBSTITUTE(SUBSTITUTE(B14,".",""),",",""))),FIND(" ",UPPER(TRIM(SUBSTITUTE(SUBSTITUTE(B14,".",""),",",""))),FIND(" ",UPPER(TRIM(SUBSTITUTE(SUBSTITUTE(B14,".",""),",",""))))+1)-1),UPPER(TRIM(SUBSTITUTE(SUBSTITUTE(B14,".",""),",",""))))</f>
        <v>SHANGHAI TEXTILES</v>
      </c>
      <c r="F14" s="10" t="str">
        <f aca="false">IF(COUNTIF($E$2:$E$21,E14)&gt;1,"Possible duplicate","OK")</f>
        <v>OK</v>
      </c>
      <c r="G14" s="10" t="str">
        <f aca="false">IF(TRIM(C14)="","",IFERROR(INDEX(Country_Map!$B$2:$B$100,MATCH(C14,Country_Map!$A$2:$A$100,0)),"?"))</f>
        <v>CN</v>
      </c>
      <c r="H14" s="10" t="str">
        <f aca="false">IF(TRIM(C14)="","Missing",IF(G14="?","Unknown value",IF(EXACT(C14,G14),"OK","Non-standard")))</f>
        <v>OK</v>
      </c>
      <c r="I14" s="10" t="str">
        <f aca="false">IF(TRIM(D14)="","Missing owner","OK")</f>
        <v>OK</v>
      </c>
      <c r="J14" s="11" t="n">
        <f aca="false">SUMIFS(Bookings!$F:$F,Bookings!$B:$B,A14)</f>
        <v>522250</v>
      </c>
      <c r="K14" s="10" t="n">
        <f aca="false">RANK(J14,$J$2:$J$21)</f>
        <v>1</v>
      </c>
      <c r="L14" s="10" t="str">
        <f aca="false">IF(AND(F14="OK",H14="OK",I14="OK"),"Clean","To fix")</f>
        <v>Clean</v>
      </c>
    </row>
    <row r="15" customFormat="false" ht="15" hidden="false" customHeight="false" outlineLevel="0" collapsed="false">
      <c r="A15" s="4" t="s">
        <v>83</v>
      </c>
      <c r="B15" s="4" t="s">
        <v>84</v>
      </c>
      <c r="C15" s="4" t="s">
        <v>85</v>
      </c>
      <c r="D15" s="4" t="s">
        <v>86</v>
      </c>
      <c r="E15" s="10" t="str">
        <f aca="false">IFERROR(LEFT(UPPER(TRIM(SUBSTITUTE(SUBSTITUTE(B15,".",""),",",""))),FIND(" ",UPPER(TRIM(SUBSTITUTE(SUBSTITUTE(B15,".",""),",",""))),FIND(" ",UPPER(TRIM(SUBSTITUTE(SUBSTITUTE(B15,".",""),",",""))))+1)-1),UPPER(TRIM(SUBSTITUTE(SUBSTITUTE(B15,".",""),",",""))))</f>
        <v>ROTTERDAM RETAIL</v>
      </c>
      <c r="F15" s="10" t="str">
        <f aca="false">IF(COUNTIF($E$2:$E$21,E15)&gt;1,"Possible duplicate","OK")</f>
        <v>OK</v>
      </c>
      <c r="G15" s="10" t="str">
        <f aca="false">IF(TRIM(C15)="","",IFERROR(INDEX(Country_Map!$B$2:$B$100,MATCH(C15,Country_Map!$A$2:$A$100,0)),"?"))</f>
        <v>NL</v>
      </c>
      <c r="H15" s="10" t="str">
        <f aca="false">IF(TRIM(C15)="","Missing",IF(G15="?","Unknown value",IF(EXACT(C15,G15),"OK","Non-standard")))</f>
        <v>OK</v>
      </c>
      <c r="I15" s="10" t="str">
        <f aca="false">IF(TRIM(D15)="","Missing owner","OK")</f>
        <v>OK</v>
      </c>
      <c r="J15" s="11" t="n">
        <f aca="false">SUMIFS(Bookings!$F:$F,Bookings!$B:$B,A15)</f>
        <v>335586</v>
      </c>
      <c r="K15" s="10" t="n">
        <f aca="false">RANK(J15,$J$2:$J$21)</f>
        <v>4</v>
      </c>
      <c r="L15" s="10" t="str">
        <f aca="false">IF(AND(F15="OK",H15="OK",I15="OK"),"Clean","To fix")</f>
        <v>Clean</v>
      </c>
    </row>
    <row r="16" customFormat="false" ht="15" hidden="false" customHeight="false" outlineLevel="0" collapsed="false">
      <c r="A16" s="4" t="s">
        <v>87</v>
      </c>
      <c r="B16" s="4" t="s">
        <v>88</v>
      </c>
      <c r="C16" s="4" t="s">
        <v>89</v>
      </c>
      <c r="D16" s="4" t="s">
        <v>90</v>
      </c>
      <c r="E16" s="10" t="str">
        <f aca="false">IFERROR(LEFT(UPPER(TRIM(SUBSTITUTE(SUBSTITUTE(B16,".",""),",",""))),FIND(" ",UPPER(TRIM(SUBSTITUTE(SUBSTITUTE(B16,".",""),",",""))),FIND(" ",UPPER(TRIM(SUBSTITUTE(SUBSTITUTE(B16,".",""),",",""))))+1)-1),UPPER(TRIM(SUBSTITUTE(SUBSTITUTE(B16,".",""),",",""))))</f>
        <v>MED OLIVE</v>
      </c>
      <c r="F16" s="10" t="str">
        <f aca="false">IF(COUNTIF($E$2:$E$21,E16)&gt;1,"Possible duplicate","OK")</f>
        <v>OK</v>
      </c>
      <c r="G16" s="10" t="str">
        <f aca="false">IF(TRIM(C16)="","",IFERROR(INDEX(Country_Map!$B$2:$B$100,MATCH(C16,Country_Map!$A$2:$A$100,0)),"?"))</f>
        <v>IT</v>
      </c>
      <c r="H16" s="10" t="str">
        <f aca="false">IF(TRIM(C16)="","Missing",IF(G16="?","Unknown value",IF(EXACT(C16,G16),"OK","Non-standard")))</f>
        <v>OK</v>
      </c>
      <c r="I16" s="10" t="str">
        <f aca="false">IF(TRIM(D16)="","Missing owner","OK")</f>
        <v>OK</v>
      </c>
      <c r="J16" s="11" t="n">
        <f aca="false">SUMIFS(Bookings!$F:$F,Bookings!$B:$B,A16)</f>
        <v>324378</v>
      </c>
      <c r="K16" s="10" t="n">
        <f aca="false">RANK(J16,$J$2:$J$21)</f>
        <v>5</v>
      </c>
      <c r="L16" s="10" t="str">
        <f aca="false">IF(AND(F16="OK",H16="OK",I16="OK"),"Clean","To fix")</f>
        <v>Clean</v>
      </c>
    </row>
    <row r="17" customFormat="false" ht="15" hidden="false" customHeight="false" outlineLevel="0" collapsed="false">
      <c r="A17" s="4" t="s">
        <v>91</v>
      </c>
      <c r="B17" s="4" t="s">
        <v>92</v>
      </c>
      <c r="C17" s="4" t="s">
        <v>93</v>
      </c>
      <c r="D17" s="4"/>
      <c r="E17" s="10" t="str">
        <f aca="false">IFERROR(LEFT(UPPER(TRIM(SUBSTITUTE(SUBSTITUTE(B17,".",""),",",""))),FIND(" ",UPPER(TRIM(SUBSTITUTE(SUBSTITUTE(B17,".",""),",",""))),FIND(" ",UPPER(TRIM(SUBSTITUTE(SUBSTITUTE(B17,".",""),",",""))))+1)-1),UPPER(TRIM(SUBSTITUTE(SUBSTITUTE(B17,".",""),",",""))))</f>
        <v>GULF PLASTICS</v>
      </c>
      <c r="F17" s="10" t="str">
        <f aca="false">IF(COUNTIF($E$2:$E$21,E17)&gt;1,"Possible duplicate","OK")</f>
        <v>OK</v>
      </c>
      <c r="G17" s="10" t="str">
        <f aca="false">IF(TRIM(C17)="","",IFERROR(INDEX(Country_Map!$B$2:$B$100,MATCH(C17,Country_Map!$A$2:$A$100,0)),"?"))</f>
        <v>AE</v>
      </c>
      <c r="H17" s="10" t="str">
        <f aca="false">IF(TRIM(C17)="","Missing",IF(G17="?","Unknown value",IF(EXACT(C17,G17),"OK","Non-standard")))</f>
        <v>OK</v>
      </c>
      <c r="I17" s="10" t="str">
        <f aca="false">IF(TRIM(D17)="","Missing owner","OK")</f>
        <v>Missing owner</v>
      </c>
      <c r="J17" s="11" t="n">
        <f aca="false">SUMIFS(Bookings!$F:$F,Bookings!$B:$B,A17)</f>
        <v>321096</v>
      </c>
      <c r="K17" s="10" t="n">
        <f aca="false">RANK(J17,$J$2:$J$21)</f>
        <v>6</v>
      </c>
      <c r="L17" s="10" t="str">
        <f aca="false">IF(AND(F17="OK",H17="OK",I17="OK"),"Clean","To fix")</f>
        <v>To fix</v>
      </c>
    </row>
    <row r="18" customFormat="false" ht="15" hidden="false" customHeight="false" outlineLevel="0" collapsed="false">
      <c r="A18" s="4" t="s">
        <v>94</v>
      </c>
      <c r="B18" s="4" t="s">
        <v>95</v>
      </c>
      <c r="C18" s="4" t="s">
        <v>96</v>
      </c>
      <c r="D18" s="4" t="s">
        <v>44</v>
      </c>
      <c r="E18" s="10" t="str">
        <f aca="false">IFERROR(LEFT(UPPER(TRIM(SUBSTITUTE(SUBSTITUTE(B18,".",""),",",""))),FIND(" ",UPPER(TRIM(SUBSTITUTE(SUBSTITUTE(B18,".",""),",",""))),FIND(" ",UPPER(TRIM(SUBSTITUTE(SUBSTITUTE(B18,".",""),",",""))))+1)-1),UPPER(TRIM(SUBSTITUTE(SUBSTITUTE(B18,".",""),",",""))))</f>
        <v>BALTIC PAPER</v>
      </c>
      <c r="F18" s="10" t="str">
        <f aca="false">IF(COUNTIF($E$2:$E$21,E18)&gt;1,"Possible duplicate","OK")</f>
        <v>OK</v>
      </c>
      <c r="G18" s="10" t="str">
        <f aca="false">IF(TRIM(C18)="","",IFERROR(INDEX(Country_Map!$B$2:$B$100,MATCH(C18,Country_Map!$A$2:$A$100,0)),"?"))</f>
        <v>EE</v>
      </c>
      <c r="H18" s="10" t="str">
        <f aca="false">IF(TRIM(C18)="","Missing",IF(G18="?","Unknown value",IF(EXACT(C18,G18),"OK","Non-standard")))</f>
        <v>OK</v>
      </c>
      <c r="I18" s="10" t="str">
        <f aca="false">IF(TRIM(D18)="","Missing owner","OK")</f>
        <v>OK</v>
      </c>
      <c r="J18" s="11" t="n">
        <f aca="false">SUMIFS(Bookings!$F:$F,Bookings!$B:$B,A18)</f>
        <v>176538</v>
      </c>
      <c r="K18" s="10" t="n">
        <f aca="false">RANK(J18,$J$2:$J$21)</f>
        <v>17</v>
      </c>
      <c r="L18" s="10" t="str">
        <f aca="false">IF(AND(F18="OK",H18="OK",I18="OK"),"Clean","To fix")</f>
        <v>Clean</v>
      </c>
    </row>
    <row r="19" customFormat="false" ht="15" hidden="false" customHeight="false" outlineLevel="0" collapsed="false">
      <c r="A19" s="4" t="s">
        <v>97</v>
      </c>
      <c r="B19" s="4" t="s">
        <v>98</v>
      </c>
      <c r="C19" s="4" t="s">
        <v>99</v>
      </c>
      <c r="D19" s="4" t="s">
        <v>67</v>
      </c>
      <c r="E19" s="10" t="str">
        <f aca="false">IFERROR(LEFT(UPPER(TRIM(SUBSTITUTE(SUBSTITUTE(B19,".",""),",",""))),FIND(" ",UPPER(TRIM(SUBSTITUTE(SUBSTITUTE(B19,".",""),",",""))),FIND(" ",UPPER(TRIM(SUBSTITUTE(SUBSTITUTE(B19,".",""),",",""))))+1)-1),UPPER(TRIM(SUBSTITUTE(SUBSTITUTE(B19,".",""),",",""))))</f>
        <v>IBERIA WINES</v>
      </c>
      <c r="F19" s="10" t="str">
        <f aca="false">IF(COUNTIF($E$2:$E$21,E19)&gt;1,"Possible duplicate","OK")</f>
        <v>Possible duplicate</v>
      </c>
      <c r="G19" s="10" t="str">
        <f aca="false">IF(TRIM(C19)="","",IFERROR(INDEX(Country_Map!$B$2:$B$100,MATCH(C19,Country_Map!$A$2:$A$100,0)),"?"))</f>
        <v>ES</v>
      </c>
      <c r="H19" s="10" t="str">
        <f aca="false">IF(TRIM(C19)="","Missing",IF(G19="?","Unknown value",IF(EXACT(C19,G19),"OK","Non-standard")))</f>
        <v>OK</v>
      </c>
      <c r="I19" s="10" t="str">
        <f aca="false">IF(TRIM(D19)="","Missing owner","OK")</f>
        <v>OK</v>
      </c>
      <c r="J19" s="11" t="n">
        <f aca="false">SUMIFS(Bookings!$F:$F,Bookings!$B:$B,A19)</f>
        <v>133164</v>
      </c>
      <c r="K19" s="10" t="n">
        <f aca="false">RANK(J19,$J$2:$J$21)</f>
        <v>20</v>
      </c>
      <c r="L19" s="10" t="str">
        <f aca="false">IF(AND(F19="OK",H19="OK",I19="OK"),"Clean","To fix")</f>
        <v>To fix</v>
      </c>
    </row>
    <row r="20" customFormat="false" ht="15" hidden="false" customHeight="false" outlineLevel="0" collapsed="false">
      <c r="A20" s="4" t="s">
        <v>100</v>
      </c>
      <c r="B20" s="4" t="s">
        <v>101</v>
      </c>
      <c r="C20" s="4" t="s">
        <v>102</v>
      </c>
      <c r="D20" s="4" t="s">
        <v>67</v>
      </c>
      <c r="E20" s="10" t="str">
        <f aca="false">IFERROR(LEFT(UPPER(TRIM(SUBSTITUTE(SUBSTITUTE(B20,".",""),",",""))),FIND(" ",UPPER(TRIM(SUBSTITUTE(SUBSTITUTE(B20,".",""),",",""))),FIND(" ",UPPER(TRIM(SUBSTITUTE(SUBSTITUTE(B20,".",""),",",""))))+1)-1),UPPER(TRIM(SUBSTITUTE(SUBSTITUTE(B20,".",""),",",""))))</f>
        <v>IBERIA WINES</v>
      </c>
      <c r="F20" s="10" t="str">
        <f aca="false">IF(COUNTIF($E$2:$E$21,E20)&gt;1,"Possible duplicate","OK")</f>
        <v>Possible duplicate</v>
      </c>
      <c r="G20" s="10" t="str">
        <f aca="false">IF(TRIM(C20)="","",IFERROR(INDEX(Country_Map!$B$2:$B$100,MATCH(C20,Country_Map!$A$2:$A$100,0)),"?"))</f>
        <v>ES</v>
      </c>
      <c r="H20" s="10" t="str">
        <f aca="false">IF(TRIM(C20)="","Missing",IF(G20="?","Unknown value",IF(EXACT(C20,G20),"OK","Non-standard")))</f>
        <v>Non-standard</v>
      </c>
      <c r="I20" s="10" t="str">
        <f aca="false">IF(TRIM(D20)="","Missing owner","OK")</f>
        <v>OK</v>
      </c>
      <c r="J20" s="11" t="n">
        <f aca="false">SUMIFS(Bookings!$F:$F,Bookings!$B:$B,A20)</f>
        <v>156330</v>
      </c>
      <c r="K20" s="10" t="n">
        <f aca="false">RANK(J20,$J$2:$J$21)</f>
        <v>18</v>
      </c>
      <c r="L20" s="10" t="str">
        <f aca="false">IF(AND(F20="OK",H20="OK",I20="OK"),"Clean","To fix")</f>
        <v>To fix</v>
      </c>
    </row>
    <row r="21" customFormat="false" ht="15" hidden="false" customHeight="false" outlineLevel="0" collapsed="false">
      <c r="A21" s="4" t="s">
        <v>103</v>
      </c>
      <c r="B21" s="4" t="s">
        <v>104</v>
      </c>
      <c r="C21" s="4" t="s">
        <v>105</v>
      </c>
      <c r="D21" s="4" t="s">
        <v>54</v>
      </c>
      <c r="E21" s="10" t="str">
        <f aca="false">IFERROR(LEFT(UPPER(TRIM(SUBSTITUTE(SUBSTITUTE(B21,".",""),",",""))),FIND(" ",UPPER(TRIM(SUBSTITUTE(SUBSTITUTE(B21,".",""),",",""))),FIND(" ",UPPER(TRIM(SUBSTITUTE(SUBSTITUTE(B21,".",""),",",""))))+1)-1),UPPER(TRIM(SUBSTITUTE(SUBSTITUTE(B21,".",""),",",""))))</f>
        <v>BREMEN MACHINERY</v>
      </c>
      <c r="F21" s="10" t="str">
        <f aca="false">IF(COUNTIF($E$2:$E$21,E21)&gt;1,"Possible duplicate","OK")</f>
        <v>Possible duplicate</v>
      </c>
      <c r="G21" s="10" t="str">
        <f aca="false">IF(TRIM(C21)="","",IFERROR(INDEX(Country_Map!$B$2:$B$100,MATCH(C21,Country_Map!$A$2:$A$100,0)),"?"))</f>
        <v>DE</v>
      </c>
      <c r="H21" s="10" t="str">
        <f aca="false">IF(TRIM(C21)="","Missing",IF(G21="?","Unknown value",IF(EXACT(C21,G21),"OK","Non-standard")))</f>
        <v>Non-standard</v>
      </c>
      <c r="I21" s="10" t="str">
        <f aca="false">IF(TRIM(D21)="","Missing owner","OK")</f>
        <v>OK</v>
      </c>
      <c r="J21" s="11" t="n">
        <f aca="false">SUMIFS(Bookings!$F:$F,Bookings!$B:$B,A21)</f>
        <v>252862</v>
      </c>
      <c r="K21" s="10" t="n">
        <f aca="false">RANK(J21,$J$2:$J$21)</f>
        <v>8</v>
      </c>
      <c r="L21" s="10" t="str">
        <f aca="false">IF(AND(F21="OK",H21="OK",I21="OK"),"Clean","To fix")</f>
        <v>To fix</v>
      </c>
    </row>
  </sheetData>
  <autoFilter ref="A1:L21"/>
  <conditionalFormatting sqref="F2:I21">
    <cfRule type="expression" priority="2" aboveAverage="0" equalAverage="0" bottom="0" percent="0" rank="0" text="" dxfId="7">
      <formula>AND(F2&lt;&gt;"OK",F2&lt;&gt;"",LEN(F2)&gt;2)</formula>
    </cfRule>
  </conditionalFormatting>
  <conditionalFormatting sqref="L2:L21">
    <cfRule type="expression" priority="3" aboveAverage="0" equalAverage="0" bottom="0" percent="0" rank="0" text="" dxfId="8">
      <formula>L2="To fix"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</cols>
  <sheetData>
    <row r="1" customFormat="false" ht="31.5" hidden="false" customHeight="true" outlineLevel="0" collapsed="false">
      <c r="A1" s="8" t="s">
        <v>29</v>
      </c>
      <c r="B1" s="8" t="s">
        <v>106</v>
      </c>
    </row>
    <row r="2" customFormat="false" ht="15" hidden="false" customHeight="false" outlineLevel="0" collapsed="false">
      <c r="A2" s="4" t="s">
        <v>41</v>
      </c>
      <c r="B2" s="4" t="s">
        <v>107</v>
      </c>
    </row>
    <row r="3" customFormat="false" ht="15" hidden="false" customHeight="false" outlineLevel="0" collapsed="false">
      <c r="A3" s="4" t="s">
        <v>45</v>
      </c>
      <c r="B3" s="4" t="s">
        <v>107</v>
      </c>
    </row>
    <row r="4" customFormat="false" ht="15" hidden="false" customHeight="false" outlineLevel="0" collapsed="false">
      <c r="A4" s="4" t="s">
        <v>48</v>
      </c>
      <c r="B4" s="4" t="s">
        <v>107</v>
      </c>
    </row>
    <row r="5" customFormat="false" ht="15" hidden="false" customHeight="false" outlineLevel="0" collapsed="false">
      <c r="A5" s="4" t="s">
        <v>51</v>
      </c>
      <c r="B5" s="4" t="s">
        <v>108</v>
      </c>
    </row>
    <row r="6" customFormat="false" ht="15" hidden="false" customHeight="false" outlineLevel="0" collapsed="false">
      <c r="A6" s="4" t="s">
        <v>55</v>
      </c>
      <c r="B6" s="4" t="s">
        <v>108</v>
      </c>
    </row>
    <row r="7" customFormat="false" ht="15" hidden="false" customHeight="false" outlineLevel="0" collapsed="false">
      <c r="A7" s="4" t="s">
        <v>58</v>
      </c>
      <c r="B7" s="4" t="s">
        <v>109</v>
      </c>
    </row>
    <row r="8" customFormat="false" ht="15" hidden="false" customHeight="false" outlineLevel="0" collapsed="false">
      <c r="A8" s="4" t="s">
        <v>62</v>
      </c>
      <c r="B8" s="4" t="s">
        <v>109</v>
      </c>
    </row>
    <row r="9" customFormat="false" ht="15" hidden="false" customHeight="false" outlineLevel="0" collapsed="false">
      <c r="A9" s="4" t="s">
        <v>64</v>
      </c>
      <c r="B9" s="4" t="s">
        <v>110</v>
      </c>
    </row>
    <row r="10" customFormat="false" ht="15" hidden="false" customHeight="false" outlineLevel="0" collapsed="false">
      <c r="A10" s="4" t="s">
        <v>68</v>
      </c>
      <c r="B10" s="4" t="s">
        <v>110</v>
      </c>
    </row>
    <row r="11" customFormat="false" ht="15" hidden="false" customHeight="false" outlineLevel="0" collapsed="false">
      <c r="A11" s="4" t="s">
        <v>71</v>
      </c>
      <c r="B11" s="4" t="s">
        <v>111</v>
      </c>
    </row>
    <row r="12" customFormat="false" ht="15" hidden="false" customHeight="false" outlineLevel="0" collapsed="false">
      <c r="A12" s="4" t="s">
        <v>73</v>
      </c>
      <c r="B12" s="4" t="s">
        <v>112</v>
      </c>
    </row>
    <row r="13" customFormat="false" ht="15" hidden="false" customHeight="false" outlineLevel="0" collapsed="false">
      <c r="A13" s="4" t="s">
        <v>77</v>
      </c>
      <c r="B13" s="4" t="s">
        <v>112</v>
      </c>
    </row>
    <row r="14" customFormat="false" ht="15" hidden="false" customHeight="false" outlineLevel="0" collapsed="false">
      <c r="A14" s="4" t="s">
        <v>80</v>
      </c>
      <c r="B14" s="4" t="s">
        <v>113</v>
      </c>
    </row>
    <row r="15" customFormat="false" ht="15" hidden="false" customHeight="false" outlineLevel="0" collapsed="false">
      <c r="A15" s="4" t="s">
        <v>83</v>
      </c>
      <c r="B15" s="4" t="s">
        <v>114</v>
      </c>
    </row>
    <row r="16" customFormat="false" ht="15" hidden="false" customHeight="false" outlineLevel="0" collapsed="false">
      <c r="A16" s="4" t="s">
        <v>87</v>
      </c>
      <c r="B16" s="4" t="s">
        <v>115</v>
      </c>
    </row>
    <row r="17" customFormat="false" ht="15" hidden="false" customHeight="false" outlineLevel="0" collapsed="false">
      <c r="A17" s="4" t="s">
        <v>91</v>
      </c>
      <c r="B17" s="4" t="s">
        <v>116</v>
      </c>
    </row>
    <row r="18" customFormat="false" ht="15" hidden="false" customHeight="false" outlineLevel="0" collapsed="false">
      <c r="A18" s="4" t="s">
        <v>94</v>
      </c>
      <c r="B18" s="4" t="s">
        <v>117</v>
      </c>
    </row>
    <row r="19" customFormat="false" ht="15" hidden="false" customHeight="false" outlineLevel="0" collapsed="false">
      <c r="A19" s="4" t="s">
        <v>97</v>
      </c>
      <c r="B19" s="4" t="s">
        <v>118</v>
      </c>
    </row>
    <row r="20" customFormat="false" ht="15" hidden="false" customHeight="false" outlineLevel="0" collapsed="false">
      <c r="A20" s="4" t="s">
        <v>100</v>
      </c>
      <c r="B20" s="4" t="s">
        <v>118</v>
      </c>
    </row>
    <row r="21" customFormat="false" ht="15" hidden="false" customHeight="false" outlineLevel="0" collapsed="false">
      <c r="A21" s="4" t="s">
        <v>103</v>
      </c>
      <c r="B21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8" t="s">
        <v>106</v>
      </c>
      <c r="B1" s="8" t="s">
        <v>119</v>
      </c>
      <c r="C1" s="8" t="s">
        <v>31</v>
      </c>
      <c r="D1" s="8" t="s">
        <v>120</v>
      </c>
      <c r="E1" s="8" t="s">
        <v>32</v>
      </c>
      <c r="F1" s="9" t="s">
        <v>121</v>
      </c>
      <c r="G1" s="9" t="s">
        <v>122</v>
      </c>
      <c r="H1" s="9" t="s">
        <v>123</v>
      </c>
    </row>
    <row r="2" customFormat="false" ht="15" hidden="false" customHeight="false" outlineLevel="0" collapsed="false">
      <c r="A2" s="4" t="s">
        <v>107</v>
      </c>
      <c r="B2" s="4" t="s">
        <v>42</v>
      </c>
      <c r="C2" s="4" t="s">
        <v>47</v>
      </c>
      <c r="D2" s="4" t="s">
        <v>124</v>
      </c>
      <c r="E2" s="4" t="s">
        <v>44</v>
      </c>
      <c r="F2" s="10" t="n">
        <f aca="false">COUNTIF(Mapping!$B:$B,A2)</f>
        <v>3</v>
      </c>
      <c r="G2" s="11" t="n">
        <f aca="false">SUMIFS(Bookings!$F:$F,Bookings!$G:$G,A2)</f>
        <v>832446</v>
      </c>
      <c r="H2" s="10" t="n">
        <f aca="false">RANK(G2,$G$2:$G$13)</f>
        <v>1</v>
      </c>
    </row>
    <row r="3" customFormat="false" ht="15" hidden="false" customHeight="false" outlineLevel="0" collapsed="false">
      <c r="A3" s="4" t="s">
        <v>108</v>
      </c>
      <c r="B3" s="4" t="s">
        <v>52</v>
      </c>
      <c r="C3" s="4" t="s">
        <v>57</v>
      </c>
      <c r="D3" s="4" t="s">
        <v>125</v>
      </c>
      <c r="E3" s="4" t="s">
        <v>54</v>
      </c>
      <c r="F3" s="10" t="n">
        <f aca="false">COUNTIF(Mapping!$B:$B,A3)</f>
        <v>2</v>
      </c>
      <c r="G3" s="11" t="n">
        <f aca="false">SUMIFS(Bookings!$F:$F,Bookings!$G:$G,A3)</f>
        <v>663222</v>
      </c>
      <c r="H3" s="10" t="n">
        <f aca="false">RANK(G3,$G$2:$G$13)</f>
        <v>2</v>
      </c>
    </row>
    <row r="4" customFormat="false" ht="15" hidden="false" customHeight="false" outlineLevel="0" collapsed="false">
      <c r="A4" s="4" t="s">
        <v>109</v>
      </c>
      <c r="B4" s="4" t="s">
        <v>59</v>
      </c>
      <c r="C4" s="4" t="s">
        <v>126</v>
      </c>
      <c r="D4" s="4" t="s">
        <v>127</v>
      </c>
      <c r="E4" s="4" t="s">
        <v>61</v>
      </c>
      <c r="F4" s="10" t="n">
        <f aca="false">COUNTIF(Mapping!$B:$B,A4)</f>
        <v>2</v>
      </c>
      <c r="G4" s="11" t="n">
        <f aca="false">SUMIFS(Bookings!$F:$F,Bookings!$G:$G,A4)</f>
        <v>457222</v>
      </c>
      <c r="H4" s="10" t="n">
        <f aca="false">RANK(G4,$G$2:$G$13)</f>
        <v>5</v>
      </c>
    </row>
    <row r="5" customFormat="false" ht="15" hidden="false" customHeight="false" outlineLevel="0" collapsed="false">
      <c r="A5" s="4" t="s">
        <v>110</v>
      </c>
      <c r="B5" s="4" t="s">
        <v>65</v>
      </c>
      <c r="C5" s="4" t="s">
        <v>70</v>
      </c>
      <c r="D5" s="4" t="s">
        <v>128</v>
      </c>
      <c r="E5" s="4" t="s">
        <v>67</v>
      </c>
      <c r="F5" s="10" t="n">
        <f aca="false">COUNTIF(Mapping!$B:$B,A5)</f>
        <v>2</v>
      </c>
      <c r="G5" s="11" t="n">
        <f aca="false">SUMIFS(Bookings!$F:$F,Bookings!$G:$G,A5)</f>
        <v>437316</v>
      </c>
      <c r="H5" s="10" t="n">
        <f aca="false">RANK(G5,$G$2:$G$13)</f>
        <v>6</v>
      </c>
    </row>
    <row r="6" customFormat="false" ht="15" hidden="false" customHeight="false" outlineLevel="0" collapsed="false">
      <c r="A6" s="4" t="s">
        <v>111</v>
      </c>
      <c r="B6" s="4" t="s">
        <v>72</v>
      </c>
      <c r="C6" s="4" t="s">
        <v>57</v>
      </c>
      <c r="D6" s="4" t="s">
        <v>129</v>
      </c>
      <c r="E6" s="4" t="s">
        <v>54</v>
      </c>
      <c r="F6" s="10" t="n">
        <f aca="false">COUNTIF(Mapping!$B:$B,A6)</f>
        <v>2</v>
      </c>
      <c r="G6" s="11" t="n">
        <f aca="false">SUMIFS(Bookings!$F:$F,Bookings!$G:$G,A6)</f>
        <v>468686</v>
      </c>
      <c r="H6" s="10" t="n">
        <f aca="false">RANK(G6,$G$2:$G$13)</f>
        <v>4</v>
      </c>
    </row>
    <row r="7" customFormat="false" ht="15" hidden="false" customHeight="false" outlineLevel="0" collapsed="false">
      <c r="A7" s="4" t="s">
        <v>112</v>
      </c>
      <c r="B7" s="4" t="s">
        <v>74</v>
      </c>
      <c r="C7" s="4" t="s">
        <v>79</v>
      </c>
      <c r="D7" s="4" t="s">
        <v>130</v>
      </c>
      <c r="E7" s="4" t="s">
        <v>76</v>
      </c>
      <c r="F7" s="10" t="n">
        <f aca="false">COUNTIF(Mapping!$B:$B,A7)</f>
        <v>2</v>
      </c>
      <c r="G7" s="11" t="n">
        <f aca="false">SUMIFS(Bookings!$F:$F,Bookings!$G:$G,A7)</f>
        <v>361756</v>
      </c>
      <c r="H7" s="10" t="n">
        <f aca="false">RANK(G7,$G$2:$G$13)</f>
        <v>7</v>
      </c>
    </row>
    <row r="8" customFormat="false" ht="15" hidden="false" customHeight="false" outlineLevel="0" collapsed="false">
      <c r="A8" s="4" t="s">
        <v>113</v>
      </c>
      <c r="B8" s="4" t="s">
        <v>81</v>
      </c>
      <c r="C8" s="4" t="s">
        <v>131</v>
      </c>
      <c r="D8" s="4" t="s">
        <v>132</v>
      </c>
      <c r="E8" s="4" t="s">
        <v>61</v>
      </c>
      <c r="F8" s="10" t="n">
        <f aca="false">COUNTIF(Mapping!$B:$B,A8)</f>
        <v>1</v>
      </c>
      <c r="G8" s="11" t="n">
        <f aca="false">SUMIFS(Bookings!$F:$F,Bookings!$G:$G,A8)</f>
        <v>522250</v>
      </c>
      <c r="H8" s="10" t="n">
        <f aca="false">RANK(G8,$G$2:$G$13)</f>
        <v>3</v>
      </c>
    </row>
    <row r="9" customFormat="false" ht="15" hidden="false" customHeight="false" outlineLevel="0" collapsed="false">
      <c r="A9" s="4" t="s">
        <v>114</v>
      </c>
      <c r="B9" s="4" t="s">
        <v>84</v>
      </c>
      <c r="C9" s="4" t="s">
        <v>133</v>
      </c>
      <c r="D9" s="4" t="s">
        <v>134</v>
      </c>
      <c r="E9" s="4" t="s">
        <v>86</v>
      </c>
      <c r="F9" s="10" t="n">
        <f aca="false">COUNTIF(Mapping!$B:$B,A9)</f>
        <v>1</v>
      </c>
      <c r="G9" s="11" t="n">
        <f aca="false">SUMIFS(Bookings!$F:$F,Bookings!$G:$G,A9)</f>
        <v>335586</v>
      </c>
      <c r="H9" s="10" t="n">
        <f aca="false">RANK(G9,$G$2:$G$13)</f>
        <v>8</v>
      </c>
    </row>
    <row r="10" customFormat="false" ht="15" hidden="false" customHeight="false" outlineLevel="0" collapsed="false">
      <c r="A10" s="4" t="s">
        <v>115</v>
      </c>
      <c r="B10" s="4" t="s">
        <v>88</v>
      </c>
      <c r="C10" s="4" t="s">
        <v>135</v>
      </c>
      <c r="D10" s="4" t="s">
        <v>136</v>
      </c>
      <c r="E10" s="4" t="s">
        <v>90</v>
      </c>
      <c r="F10" s="10" t="n">
        <f aca="false">COUNTIF(Mapping!$B:$B,A10)</f>
        <v>1</v>
      </c>
      <c r="G10" s="11" t="n">
        <f aca="false">SUMIFS(Bookings!$F:$F,Bookings!$G:$G,A10)</f>
        <v>324378</v>
      </c>
      <c r="H10" s="10" t="n">
        <f aca="false">RANK(G10,$G$2:$G$13)</f>
        <v>9</v>
      </c>
    </row>
    <row r="11" customFormat="false" ht="15" hidden="false" customHeight="false" outlineLevel="0" collapsed="false">
      <c r="A11" s="4" t="s">
        <v>116</v>
      </c>
      <c r="B11" s="4" t="s">
        <v>92</v>
      </c>
      <c r="C11" s="4" t="s">
        <v>137</v>
      </c>
      <c r="D11" s="4" t="s">
        <v>138</v>
      </c>
      <c r="E11" s="4" t="s">
        <v>139</v>
      </c>
      <c r="F11" s="10" t="n">
        <f aca="false">COUNTIF(Mapping!$B:$B,A11)</f>
        <v>1</v>
      </c>
      <c r="G11" s="11" t="n">
        <f aca="false">SUMIFS(Bookings!$F:$F,Bookings!$G:$G,A11)</f>
        <v>321096</v>
      </c>
      <c r="H11" s="10" t="n">
        <f aca="false">RANK(G11,$G$2:$G$13)</f>
        <v>10</v>
      </c>
    </row>
    <row r="12" customFormat="false" ht="15" hidden="false" customHeight="false" outlineLevel="0" collapsed="false">
      <c r="A12" s="4" t="s">
        <v>117</v>
      </c>
      <c r="B12" s="4" t="s">
        <v>95</v>
      </c>
      <c r="C12" s="4" t="s">
        <v>140</v>
      </c>
      <c r="D12" s="4" t="s">
        <v>141</v>
      </c>
      <c r="E12" s="4" t="s">
        <v>44</v>
      </c>
      <c r="F12" s="10" t="n">
        <f aca="false">COUNTIF(Mapping!$B:$B,A12)</f>
        <v>1</v>
      </c>
      <c r="G12" s="11" t="n">
        <f aca="false">SUMIFS(Bookings!$F:$F,Bookings!$G:$G,A12)</f>
        <v>176538</v>
      </c>
      <c r="H12" s="10" t="n">
        <f aca="false">RANK(G12,$G$2:$G$13)</f>
        <v>12</v>
      </c>
    </row>
    <row r="13" customFormat="false" ht="15" hidden="false" customHeight="false" outlineLevel="0" collapsed="false">
      <c r="A13" s="4" t="s">
        <v>118</v>
      </c>
      <c r="B13" s="4" t="s">
        <v>98</v>
      </c>
      <c r="C13" s="4" t="s">
        <v>102</v>
      </c>
      <c r="D13" s="4" t="s">
        <v>142</v>
      </c>
      <c r="E13" s="4" t="s">
        <v>67</v>
      </c>
      <c r="F13" s="10" t="n">
        <f aca="false">COUNTIF(Mapping!$B:$B,A13)</f>
        <v>2</v>
      </c>
      <c r="G13" s="11" t="n">
        <f aca="false">SUMIFS(Bookings!$F:$F,Bookings!$G:$G,A13)</f>
        <v>289494</v>
      </c>
      <c r="H13" s="10" t="n">
        <f aca="false">RANK(G13,$G$2:$G$13)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7"/>
  </cols>
  <sheetData>
    <row r="1" customFormat="false" ht="31.5" hidden="false" customHeight="true" outlineLevel="0" collapsed="false">
      <c r="A1" s="8" t="s">
        <v>143</v>
      </c>
      <c r="B1" s="8" t="s">
        <v>29</v>
      </c>
      <c r="C1" s="8" t="s">
        <v>144</v>
      </c>
      <c r="D1" s="8" t="s">
        <v>145</v>
      </c>
      <c r="E1" s="8" t="s">
        <v>146</v>
      </c>
      <c r="F1" s="8" t="s">
        <v>147</v>
      </c>
      <c r="G1" s="9" t="s">
        <v>148</v>
      </c>
    </row>
    <row r="2" customFormat="false" ht="15" hidden="false" customHeight="false" outlineLevel="0" collapsed="false">
      <c r="A2" s="4" t="s">
        <v>149</v>
      </c>
      <c r="B2" s="4" t="s">
        <v>48</v>
      </c>
      <c r="C2" s="4" t="s">
        <v>150</v>
      </c>
      <c r="D2" s="4" t="s">
        <v>151</v>
      </c>
      <c r="E2" s="4" t="n">
        <v>2</v>
      </c>
      <c r="F2" s="12" t="n">
        <v>2902</v>
      </c>
      <c r="G2" s="10" t="str">
        <f aca="false">IFERROR(INDEX(Mapping!$B$2:$B$100,MATCH(B2,Mapping!$A$2:$A$100,0)),"UNMATCHED")</f>
        <v>M01</v>
      </c>
    </row>
    <row r="3" customFormat="false" ht="15" hidden="false" customHeight="false" outlineLevel="0" collapsed="false">
      <c r="A3" s="4" t="s">
        <v>152</v>
      </c>
      <c r="B3" s="4" t="s">
        <v>41</v>
      </c>
      <c r="C3" s="4" t="s">
        <v>153</v>
      </c>
      <c r="D3" s="4" t="s">
        <v>154</v>
      </c>
      <c r="E3" s="4" t="n">
        <v>4</v>
      </c>
      <c r="F3" s="12" t="n">
        <v>6436</v>
      </c>
      <c r="G3" s="10" t="str">
        <f aca="false">IFERROR(INDEX(Mapping!$B$2:$B$100,MATCH(B3,Mapping!$A$2:$A$100,0)),"UNMATCHED")</f>
        <v>M01</v>
      </c>
    </row>
    <row r="4" customFormat="false" ht="15" hidden="false" customHeight="false" outlineLevel="0" collapsed="false">
      <c r="A4" s="4" t="s">
        <v>155</v>
      </c>
      <c r="B4" s="4" t="s">
        <v>48</v>
      </c>
      <c r="C4" s="4" t="s">
        <v>156</v>
      </c>
      <c r="D4" s="4" t="s">
        <v>154</v>
      </c>
      <c r="E4" s="4" t="n">
        <v>8</v>
      </c>
      <c r="F4" s="12" t="n">
        <v>11720</v>
      </c>
      <c r="G4" s="10" t="str">
        <f aca="false">IFERROR(INDEX(Mapping!$B$2:$B$100,MATCH(B4,Mapping!$A$2:$A$100,0)),"UNMATCHED")</f>
        <v>M01</v>
      </c>
    </row>
    <row r="5" customFormat="false" ht="15" hidden="false" customHeight="false" outlineLevel="0" collapsed="false">
      <c r="A5" s="4" t="s">
        <v>157</v>
      </c>
      <c r="B5" s="4" t="s">
        <v>41</v>
      </c>
      <c r="C5" s="4" t="s">
        <v>153</v>
      </c>
      <c r="D5" s="4" t="s">
        <v>154</v>
      </c>
      <c r="E5" s="4" t="n">
        <v>4</v>
      </c>
      <c r="F5" s="12" t="n">
        <v>9736</v>
      </c>
      <c r="G5" s="10" t="str">
        <f aca="false">IFERROR(INDEX(Mapping!$B$2:$B$100,MATCH(B5,Mapping!$A$2:$A$100,0)),"UNMATCHED")</f>
        <v>M01</v>
      </c>
    </row>
    <row r="6" customFormat="false" ht="15" hidden="false" customHeight="false" outlineLevel="0" collapsed="false">
      <c r="A6" s="4" t="s">
        <v>158</v>
      </c>
      <c r="B6" s="4" t="s">
        <v>48</v>
      </c>
      <c r="C6" s="4" t="s">
        <v>159</v>
      </c>
      <c r="D6" s="4" t="s">
        <v>151</v>
      </c>
      <c r="E6" s="4" t="n">
        <v>4</v>
      </c>
      <c r="F6" s="12" t="n">
        <v>10064</v>
      </c>
      <c r="G6" s="10" t="str">
        <f aca="false">IFERROR(INDEX(Mapping!$B$2:$B$100,MATCH(B6,Mapping!$A$2:$A$100,0)),"UNMATCHED")</f>
        <v>M01</v>
      </c>
    </row>
    <row r="7" customFormat="false" ht="15" hidden="false" customHeight="false" outlineLevel="0" collapsed="false">
      <c r="A7" s="4" t="s">
        <v>160</v>
      </c>
      <c r="B7" s="4" t="s">
        <v>45</v>
      </c>
      <c r="C7" s="4" t="s">
        <v>156</v>
      </c>
      <c r="D7" s="4" t="s">
        <v>151</v>
      </c>
      <c r="E7" s="4" t="n">
        <v>10</v>
      </c>
      <c r="F7" s="12" t="n">
        <v>19690</v>
      </c>
      <c r="G7" s="10" t="str">
        <f aca="false">IFERROR(INDEX(Mapping!$B$2:$B$100,MATCH(B7,Mapping!$A$2:$A$100,0)),"UNMATCHED")</f>
        <v>M01</v>
      </c>
    </row>
    <row r="8" customFormat="false" ht="15" hidden="false" customHeight="false" outlineLevel="0" collapsed="false">
      <c r="A8" s="4" t="s">
        <v>161</v>
      </c>
      <c r="B8" s="4" t="s">
        <v>48</v>
      </c>
      <c r="C8" s="4" t="s">
        <v>150</v>
      </c>
      <c r="D8" s="4" t="s">
        <v>151</v>
      </c>
      <c r="E8" s="4" t="n">
        <v>8</v>
      </c>
      <c r="F8" s="12" t="n">
        <v>16768</v>
      </c>
      <c r="G8" s="10" t="str">
        <f aca="false">IFERROR(INDEX(Mapping!$B$2:$B$100,MATCH(B8,Mapping!$A$2:$A$100,0)),"UNMATCHED")</f>
        <v>M01</v>
      </c>
    </row>
    <row r="9" customFormat="false" ht="15" hidden="false" customHeight="false" outlineLevel="0" collapsed="false">
      <c r="A9" s="4" t="s">
        <v>162</v>
      </c>
      <c r="B9" s="4" t="s">
        <v>41</v>
      </c>
      <c r="C9" s="4" t="s">
        <v>156</v>
      </c>
      <c r="D9" s="4" t="s">
        <v>163</v>
      </c>
      <c r="E9" s="4" t="n">
        <v>6</v>
      </c>
      <c r="F9" s="12" t="n">
        <v>9654</v>
      </c>
      <c r="G9" s="10" t="str">
        <f aca="false">IFERROR(INDEX(Mapping!$B$2:$B$100,MATCH(B9,Mapping!$A$2:$A$100,0)),"UNMATCHED")</f>
        <v>M01</v>
      </c>
    </row>
    <row r="10" customFormat="false" ht="15" hidden="false" customHeight="false" outlineLevel="0" collapsed="false">
      <c r="A10" s="4" t="s">
        <v>164</v>
      </c>
      <c r="B10" s="4" t="s">
        <v>41</v>
      </c>
      <c r="C10" s="4" t="s">
        <v>153</v>
      </c>
      <c r="D10" s="4" t="s">
        <v>165</v>
      </c>
      <c r="E10" s="4" t="n">
        <v>6</v>
      </c>
      <c r="F10" s="12" t="n">
        <v>12624</v>
      </c>
      <c r="G10" s="10" t="str">
        <f aca="false">IFERROR(INDEX(Mapping!$B$2:$B$100,MATCH(B10,Mapping!$A$2:$A$100,0)),"UNMATCHED")</f>
        <v>M01</v>
      </c>
    </row>
    <row r="11" customFormat="false" ht="15" hidden="false" customHeight="false" outlineLevel="0" collapsed="false">
      <c r="A11" s="4" t="s">
        <v>166</v>
      </c>
      <c r="B11" s="4" t="s">
        <v>41</v>
      </c>
      <c r="C11" s="4" t="s">
        <v>153</v>
      </c>
      <c r="D11" s="4" t="s">
        <v>154</v>
      </c>
      <c r="E11" s="4" t="n">
        <v>12</v>
      </c>
      <c r="F11" s="12" t="n">
        <v>28080</v>
      </c>
      <c r="G11" s="10" t="str">
        <f aca="false">IFERROR(INDEX(Mapping!$B$2:$B$100,MATCH(B11,Mapping!$A$2:$A$100,0)),"UNMATCHED")</f>
        <v>M01</v>
      </c>
    </row>
    <row r="12" customFormat="false" ht="15" hidden="false" customHeight="false" outlineLevel="0" collapsed="false">
      <c r="A12" s="4" t="s">
        <v>167</v>
      </c>
      <c r="B12" s="4" t="s">
        <v>45</v>
      </c>
      <c r="C12" s="4" t="s">
        <v>150</v>
      </c>
      <c r="D12" s="4" t="s">
        <v>168</v>
      </c>
      <c r="E12" s="4" t="n">
        <v>2</v>
      </c>
      <c r="F12" s="12" t="n">
        <v>5060</v>
      </c>
      <c r="G12" s="10" t="str">
        <f aca="false">IFERROR(INDEX(Mapping!$B$2:$B$100,MATCH(B12,Mapping!$A$2:$A$100,0)),"UNMATCHED")</f>
        <v>M01</v>
      </c>
    </row>
    <row r="13" customFormat="false" ht="15" hidden="false" customHeight="false" outlineLevel="0" collapsed="false">
      <c r="A13" s="4" t="s">
        <v>169</v>
      </c>
      <c r="B13" s="4" t="s">
        <v>48</v>
      </c>
      <c r="C13" s="4" t="s">
        <v>170</v>
      </c>
      <c r="D13" s="4" t="s">
        <v>168</v>
      </c>
      <c r="E13" s="4" t="n">
        <v>6</v>
      </c>
      <c r="F13" s="12" t="n">
        <v>15492</v>
      </c>
      <c r="G13" s="10" t="str">
        <f aca="false">IFERROR(INDEX(Mapping!$B$2:$B$100,MATCH(B13,Mapping!$A$2:$A$100,0)),"UNMATCHED")</f>
        <v>M01</v>
      </c>
    </row>
    <row r="14" customFormat="false" ht="15" hidden="false" customHeight="false" outlineLevel="0" collapsed="false">
      <c r="A14" s="4" t="s">
        <v>171</v>
      </c>
      <c r="B14" s="4" t="s">
        <v>41</v>
      </c>
      <c r="C14" s="4" t="s">
        <v>150</v>
      </c>
      <c r="D14" s="4" t="s">
        <v>154</v>
      </c>
      <c r="E14" s="4" t="n">
        <v>2</v>
      </c>
      <c r="F14" s="12" t="n">
        <v>3732</v>
      </c>
      <c r="G14" s="10" t="str">
        <f aca="false">IFERROR(INDEX(Mapping!$B$2:$B$100,MATCH(B14,Mapping!$A$2:$A$100,0)),"UNMATCHED")</f>
        <v>M01</v>
      </c>
    </row>
    <row r="15" customFormat="false" ht="15" hidden="false" customHeight="false" outlineLevel="0" collapsed="false">
      <c r="A15" s="4" t="s">
        <v>172</v>
      </c>
      <c r="B15" s="4" t="s">
        <v>41</v>
      </c>
      <c r="C15" s="4" t="s">
        <v>150</v>
      </c>
      <c r="D15" s="4" t="s">
        <v>163</v>
      </c>
      <c r="E15" s="4" t="n">
        <v>2</v>
      </c>
      <c r="F15" s="12" t="n">
        <v>4356</v>
      </c>
      <c r="G15" s="10" t="str">
        <f aca="false">IFERROR(INDEX(Mapping!$B$2:$B$100,MATCH(B15,Mapping!$A$2:$A$100,0)),"UNMATCHED")</f>
        <v>M01</v>
      </c>
    </row>
    <row r="16" customFormat="false" ht="15" hidden="false" customHeight="false" outlineLevel="0" collapsed="false">
      <c r="A16" s="4" t="s">
        <v>173</v>
      </c>
      <c r="B16" s="4" t="s">
        <v>48</v>
      </c>
      <c r="C16" s="4" t="s">
        <v>150</v>
      </c>
      <c r="D16" s="4" t="s">
        <v>165</v>
      </c>
      <c r="E16" s="4" t="n">
        <v>6</v>
      </c>
      <c r="F16" s="12" t="n">
        <v>10398</v>
      </c>
      <c r="G16" s="10" t="str">
        <f aca="false">IFERROR(INDEX(Mapping!$B$2:$B$100,MATCH(B16,Mapping!$A$2:$A$100,0)),"UNMATCHED")</f>
        <v>M01</v>
      </c>
    </row>
    <row r="17" customFormat="false" ht="15" hidden="false" customHeight="false" outlineLevel="0" collapsed="false">
      <c r="A17" s="4" t="s">
        <v>174</v>
      </c>
      <c r="B17" s="4" t="s">
        <v>41</v>
      </c>
      <c r="C17" s="4" t="s">
        <v>156</v>
      </c>
      <c r="D17" s="4" t="s">
        <v>175</v>
      </c>
      <c r="E17" s="4" t="n">
        <v>12</v>
      </c>
      <c r="F17" s="12" t="n">
        <v>23352</v>
      </c>
      <c r="G17" s="10" t="str">
        <f aca="false">IFERROR(INDEX(Mapping!$B$2:$B$100,MATCH(B17,Mapping!$A$2:$A$100,0)),"UNMATCHED")</f>
        <v>M01</v>
      </c>
    </row>
    <row r="18" customFormat="false" ht="15" hidden="false" customHeight="false" outlineLevel="0" collapsed="false">
      <c r="A18" s="4" t="s">
        <v>176</v>
      </c>
      <c r="B18" s="4" t="s">
        <v>48</v>
      </c>
      <c r="C18" s="4" t="s">
        <v>170</v>
      </c>
      <c r="D18" s="4" t="s">
        <v>151</v>
      </c>
      <c r="E18" s="4" t="n">
        <v>4</v>
      </c>
      <c r="F18" s="12" t="n">
        <v>9972</v>
      </c>
      <c r="G18" s="10" t="str">
        <f aca="false">IFERROR(INDEX(Mapping!$B$2:$B$100,MATCH(B18,Mapping!$A$2:$A$100,0)),"UNMATCHED")</f>
        <v>M01</v>
      </c>
    </row>
    <row r="19" customFormat="false" ht="15" hidden="false" customHeight="false" outlineLevel="0" collapsed="false">
      <c r="A19" s="4" t="s">
        <v>177</v>
      </c>
      <c r="B19" s="4" t="s">
        <v>45</v>
      </c>
      <c r="C19" s="4" t="s">
        <v>153</v>
      </c>
      <c r="D19" s="4" t="s">
        <v>151</v>
      </c>
      <c r="E19" s="4" t="n">
        <v>8</v>
      </c>
      <c r="F19" s="12" t="n">
        <v>15616</v>
      </c>
      <c r="G19" s="10" t="str">
        <f aca="false">IFERROR(INDEX(Mapping!$B$2:$B$100,MATCH(B19,Mapping!$A$2:$A$100,0)),"UNMATCHED")</f>
        <v>M01</v>
      </c>
    </row>
    <row r="20" customFormat="false" ht="15" hidden="false" customHeight="false" outlineLevel="0" collapsed="false">
      <c r="A20" s="4" t="s">
        <v>178</v>
      </c>
      <c r="B20" s="4" t="s">
        <v>48</v>
      </c>
      <c r="C20" s="4" t="s">
        <v>170</v>
      </c>
      <c r="D20" s="4" t="s">
        <v>154</v>
      </c>
      <c r="E20" s="4" t="n">
        <v>6</v>
      </c>
      <c r="F20" s="12" t="n">
        <v>9084</v>
      </c>
      <c r="G20" s="10" t="str">
        <f aca="false">IFERROR(INDEX(Mapping!$B$2:$B$100,MATCH(B20,Mapping!$A$2:$A$100,0)),"UNMATCHED")</f>
        <v>M01</v>
      </c>
    </row>
    <row r="21" customFormat="false" ht="15" hidden="false" customHeight="false" outlineLevel="0" collapsed="false">
      <c r="A21" s="4" t="s">
        <v>179</v>
      </c>
      <c r="B21" s="4" t="s">
        <v>45</v>
      </c>
      <c r="C21" s="4" t="s">
        <v>156</v>
      </c>
      <c r="D21" s="4" t="s">
        <v>151</v>
      </c>
      <c r="E21" s="4" t="n">
        <v>8</v>
      </c>
      <c r="F21" s="12" t="n">
        <v>15584</v>
      </c>
      <c r="G21" s="10" t="str">
        <f aca="false">IFERROR(INDEX(Mapping!$B$2:$B$100,MATCH(B21,Mapping!$A$2:$A$100,0)),"UNMATCHED")</f>
        <v>M01</v>
      </c>
    </row>
    <row r="22" customFormat="false" ht="15" hidden="false" customHeight="false" outlineLevel="0" collapsed="false">
      <c r="A22" s="4" t="s">
        <v>180</v>
      </c>
      <c r="B22" s="4" t="s">
        <v>48</v>
      </c>
      <c r="C22" s="4" t="s">
        <v>170</v>
      </c>
      <c r="D22" s="4" t="s">
        <v>168</v>
      </c>
      <c r="E22" s="4" t="n">
        <v>12</v>
      </c>
      <c r="F22" s="12" t="n">
        <v>24528</v>
      </c>
      <c r="G22" s="10" t="str">
        <f aca="false">IFERROR(INDEX(Mapping!$B$2:$B$100,MATCH(B22,Mapping!$A$2:$A$100,0)),"UNMATCHED")</f>
        <v>M01</v>
      </c>
    </row>
    <row r="23" customFormat="false" ht="15" hidden="false" customHeight="false" outlineLevel="0" collapsed="false">
      <c r="A23" s="4" t="s">
        <v>181</v>
      </c>
      <c r="B23" s="4" t="s">
        <v>45</v>
      </c>
      <c r="C23" s="4" t="s">
        <v>170</v>
      </c>
      <c r="D23" s="4" t="s">
        <v>165</v>
      </c>
      <c r="E23" s="4" t="n">
        <v>8</v>
      </c>
      <c r="F23" s="12" t="n">
        <v>18712</v>
      </c>
      <c r="G23" s="10" t="str">
        <f aca="false">IFERROR(INDEX(Mapping!$B$2:$B$100,MATCH(B23,Mapping!$A$2:$A$100,0)),"UNMATCHED")</f>
        <v>M01</v>
      </c>
    </row>
    <row r="24" customFormat="false" ht="15" hidden="false" customHeight="false" outlineLevel="0" collapsed="false">
      <c r="A24" s="4" t="s">
        <v>182</v>
      </c>
      <c r="B24" s="4" t="s">
        <v>41</v>
      </c>
      <c r="C24" s="4" t="s">
        <v>153</v>
      </c>
      <c r="D24" s="4" t="s">
        <v>165</v>
      </c>
      <c r="E24" s="4" t="n">
        <v>4</v>
      </c>
      <c r="F24" s="12" t="n">
        <v>10196</v>
      </c>
      <c r="G24" s="10" t="str">
        <f aca="false">IFERROR(INDEX(Mapping!$B$2:$B$100,MATCH(B24,Mapping!$A$2:$A$100,0)),"UNMATCHED")</f>
        <v>M01</v>
      </c>
    </row>
    <row r="25" customFormat="false" ht="15" hidden="false" customHeight="false" outlineLevel="0" collapsed="false">
      <c r="A25" s="4" t="s">
        <v>183</v>
      </c>
      <c r="B25" s="4" t="s">
        <v>48</v>
      </c>
      <c r="C25" s="4" t="s">
        <v>153</v>
      </c>
      <c r="D25" s="4" t="s">
        <v>163</v>
      </c>
      <c r="E25" s="4" t="n">
        <v>10</v>
      </c>
      <c r="F25" s="12" t="n">
        <v>22770</v>
      </c>
      <c r="G25" s="10" t="str">
        <f aca="false">IFERROR(INDEX(Mapping!$B$2:$B$100,MATCH(B25,Mapping!$A$2:$A$100,0)),"UNMATCHED")</f>
        <v>M01</v>
      </c>
    </row>
    <row r="26" customFormat="false" ht="15" hidden="false" customHeight="false" outlineLevel="0" collapsed="false">
      <c r="A26" s="4" t="s">
        <v>184</v>
      </c>
      <c r="B26" s="4" t="s">
        <v>45</v>
      </c>
      <c r="C26" s="4" t="s">
        <v>153</v>
      </c>
      <c r="D26" s="4" t="s">
        <v>163</v>
      </c>
      <c r="E26" s="4" t="n">
        <v>4</v>
      </c>
      <c r="F26" s="12" t="n">
        <v>6732</v>
      </c>
      <c r="G26" s="10" t="str">
        <f aca="false">IFERROR(INDEX(Mapping!$B$2:$B$100,MATCH(B26,Mapping!$A$2:$A$100,0)),"UNMATCHED")</f>
        <v>M01</v>
      </c>
    </row>
    <row r="27" customFormat="false" ht="15" hidden="false" customHeight="false" outlineLevel="0" collapsed="false">
      <c r="A27" s="4" t="s">
        <v>185</v>
      </c>
      <c r="B27" s="4" t="s">
        <v>41</v>
      </c>
      <c r="C27" s="4" t="s">
        <v>170</v>
      </c>
      <c r="D27" s="4" t="s">
        <v>168</v>
      </c>
      <c r="E27" s="4" t="n">
        <v>2</v>
      </c>
      <c r="F27" s="12" t="n">
        <v>3248</v>
      </c>
      <c r="G27" s="10" t="str">
        <f aca="false">IFERROR(INDEX(Mapping!$B$2:$B$100,MATCH(B27,Mapping!$A$2:$A$100,0)),"UNMATCHED")</f>
        <v>M01</v>
      </c>
    </row>
    <row r="28" customFormat="false" ht="15" hidden="false" customHeight="false" outlineLevel="0" collapsed="false">
      <c r="A28" s="4" t="s">
        <v>186</v>
      </c>
      <c r="B28" s="4" t="s">
        <v>41</v>
      </c>
      <c r="C28" s="4" t="s">
        <v>153</v>
      </c>
      <c r="D28" s="4" t="s">
        <v>154</v>
      </c>
      <c r="E28" s="4" t="n">
        <v>12</v>
      </c>
      <c r="F28" s="12" t="n">
        <v>27168</v>
      </c>
      <c r="G28" s="10" t="str">
        <f aca="false">IFERROR(INDEX(Mapping!$B$2:$B$100,MATCH(B28,Mapping!$A$2:$A$100,0)),"UNMATCHED")</f>
        <v>M01</v>
      </c>
    </row>
    <row r="29" customFormat="false" ht="15" hidden="false" customHeight="false" outlineLevel="0" collapsed="false">
      <c r="A29" s="4" t="s">
        <v>187</v>
      </c>
      <c r="B29" s="4" t="s">
        <v>45</v>
      </c>
      <c r="C29" s="4" t="s">
        <v>153</v>
      </c>
      <c r="D29" s="4" t="s">
        <v>165</v>
      </c>
      <c r="E29" s="4" t="n">
        <v>8</v>
      </c>
      <c r="F29" s="12" t="n">
        <v>18864</v>
      </c>
      <c r="G29" s="10" t="str">
        <f aca="false">IFERROR(INDEX(Mapping!$B$2:$B$100,MATCH(B29,Mapping!$A$2:$A$100,0)),"UNMATCHED")</f>
        <v>M01</v>
      </c>
    </row>
    <row r="30" customFormat="false" ht="15" hidden="false" customHeight="false" outlineLevel="0" collapsed="false">
      <c r="A30" s="4" t="s">
        <v>188</v>
      </c>
      <c r="B30" s="4" t="s">
        <v>48</v>
      </c>
      <c r="C30" s="4" t="s">
        <v>153</v>
      </c>
      <c r="D30" s="4" t="s">
        <v>165</v>
      </c>
      <c r="E30" s="4" t="n">
        <v>2</v>
      </c>
      <c r="F30" s="12" t="n">
        <v>3268</v>
      </c>
      <c r="G30" s="10" t="str">
        <f aca="false">IFERROR(INDEX(Mapping!$B$2:$B$100,MATCH(B30,Mapping!$A$2:$A$100,0)),"UNMATCHED")</f>
        <v>M01</v>
      </c>
    </row>
    <row r="31" customFormat="false" ht="15" hidden="false" customHeight="false" outlineLevel="0" collapsed="false">
      <c r="A31" s="4" t="s">
        <v>189</v>
      </c>
      <c r="B31" s="4" t="s">
        <v>48</v>
      </c>
      <c r="C31" s="4" t="s">
        <v>150</v>
      </c>
      <c r="D31" s="4" t="s">
        <v>163</v>
      </c>
      <c r="E31" s="4" t="n">
        <v>6</v>
      </c>
      <c r="F31" s="12" t="n">
        <v>9768</v>
      </c>
      <c r="G31" s="10" t="str">
        <f aca="false">IFERROR(INDEX(Mapping!$B$2:$B$100,MATCH(B31,Mapping!$A$2:$A$100,0)),"UNMATCHED")</f>
        <v>M01</v>
      </c>
    </row>
    <row r="32" customFormat="false" ht="15" hidden="false" customHeight="false" outlineLevel="0" collapsed="false">
      <c r="A32" s="4" t="s">
        <v>190</v>
      </c>
      <c r="B32" s="4" t="s">
        <v>41</v>
      </c>
      <c r="C32" s="4" t="s">
        <v>150</v>
      </c>
      <c r="D32" s="4" t="s">
        <v>175</v>
      </c>
      <c r="E32" s="4" t="n">
        <v>8</v>
      </c>
      <c r="F32" s="12" t="n">
        <v>11248</v>
      </c>
      <c r="G32" s="10" t="str">
        <f aca="false">IFERROR(INDEX(Mapping!$B$2:$B$100,MATCH(B32,Mapping!$A$2:$A$100,0)),"UNMATCHED")</f>
        <v>M01</v>
      </c>
    </row>
    <row r="33" customFormat="false" ht="15" hidden="false" customHeight="false" outlineLevel="0" collapsed="false">
      <c r="A33" s="4" t="s">
        <v>191</v>
      </c>
      <c r="B33" s="4" t="s">
        <v>41</v>
      </c>
      <c r="C33" s="4" t="s">
        <v>150</v>
      </c>
      <c r="D33" s="4" t="s">
        <v>168</v>
      </c>
      <c r="E33" s="4" t="n">
        <v>10</v>
      </c>
      <c r="F33" s="12" t="n">
        <v>16170</v>
      </c>
      <c r="G33" s="10" t="str">
        <f aca="false">IFERROR(INDEX(Mapping!$B$2:$B$100,MATCH(B33,Mapping!$A$2:$A$100,0)),"UNMATCHED")</f>
        <v>M01</v>
      </c>
    </row>
    <row r="34" customFormat="false" ht="15" hidden="false" customHeight="false" outlineLevel="0" collapsed="false">
      <c r="A34" s="4" t="s">
        <v>192</v>
      </c>
      <c r="B34" s="4" t="s">
        <v>48</v>
      </c>
      <c r="C34" s="4" t="s">
        <v>170</v>
      </c>
      <c r="D34" s="4" t="s">
        <v>165</v>
      </c>
      <c r="E34" s="4" t="n">
        <v>10</v>
      </c>
      <c r="F34" s="12" t="n">
        <v>18070</v>
      </c>
      <c r="G34" s="10" t="str">
        <f aca="false">IFERROR(INDEX(Mapping!$B$2:$B$100,MATCH(B34,Mapping!$A$2:$A$100,0)),"UNMATCHED")</f>
        <v>M01</v>
      </c>
    </row>
    <row r="35" customFormat="false" ht="15" hidden="false" customHeight="false" outlineLevel="0" collapsed="false">
      <c r="A35" s="4" t="s">
        <v>193</v>
      </c>
      <c r="B35" s="4" t="s">
        <v>41</v>
      </c>
      <c r="C35" s="4" t="s">
        <v>156</v>
      </c>
      <c r="D35" s="4" t="s">
        <v>175</v>
      </c>
      <c r="E35" s="4" t="n">
        <v>10</v>
      </c>
      <c r="F35" s="12" t="n">
        <v>24860</v>
      </c>
      <c r="G35" s="10" t="str">
        <f aca="false">IFERROR(INDEX(Mapping!$B$2:$B$100,MATCH(B35,Mapping!$A$2:$A$100,0)),"UNMATCHED")</f>
        <v>M01</v>
      </c>
    </row>
    <row r="36" customFormat="false" ht="15" hidden="false" customHeight="false" outlineLevel="0" collapsed="false">
      <c r="A36" s="4" t="s">
        <v>194</v>
      </c>
      <c r="B36" s="4" t="s">
        <v>45</v>
      </c>
      <c r="C36" s="4" t="s">
        <v>156</v>
      </c>
      <c r="D36" s="4" t="s">
        <v>165</v>
      </c>
      <c r="E36" s="4" t="n">
        <v>8</v>
      </c>
      <c r="F36" s="12" t="n">
        <v>11512</v>
      </c>
      <c r="G36" s="10" t="str">
        <f aca="false">IFERROR(INDEX(Mapping!$B$2:$B$100,MATCH(B36,Mapping!$A$2:$A$100,0)),"UNMATCHED")</f>
        <v>M01</v>
      </c>
    </row>
    <row r="37" customFormat="false" ht="15" hidden="false" customHeight="false" outlineLevel="0" collapsed="false">
      <c r="A37" s="4" t="s">
        <v>195</v>
      </c>
      <c r="B37" s="4" t="s">
        <v>45</v>
      </c>
      <c r="C37" s="4" t="s">
        <v>170</v>
      </c>
      <c r="D37" s="4" t="s">
        <v>175</v>
      </c>
      <c r="E37" s="4" t="n">
        <v>4</v>
      </c>
      <c r="F37" s="12" t="n">
        <v>6072</v>
      </c>
      <c r="G37" s="10" t="str">
        <f aca="false">IFERROR(INDEX(Mapping!$B$2:$B$100,MATCH(B37,Mapping!$A$2:$A$100,0)),"UNMATCHED")</f>
        <v>M01</v>
      </c>
    </row>
    <row r="38" customFormat="false" ht="15" hidden="false" customHeight="false" outlineLevel="0" collapsed="false">
      <c r="A38" s="4" t="s">
        <v>196</v>
      </c>
      <c r="B38" s="4" t="s">
        <v>41</v>
      </c>
      <c r="C38" s="4" t="s">
        <v>156</v>
      </c>
      <c r="D38" s="4" t="s">
        <v>175</v>
      </c>
      <c r="E38" s="4" t="n">
        <v>2</v>
      </c>
      <c r="F38" s="12" t="n">
        <v>4790</v>
      </c>
      <c r="G38" s="10" t="str">
        <f aca="false">IFERROR(INDEX(Mapping!$B$2:$B$100,MATCH(B38,Mapping!$A$2:$A$100,0)),"UNMATCHED")</f>
        <v>M01</v>
      </c>
    </row>
    <row r="39" customFormat="false" ht="15" hidden="false" customHeight="false" outlineLevel="0" collapsed="false">
      <c r="A39" s="4" t="s">
        <v>197</v>
      </c>
      <c r="B39" s="4" t="s">
        <v>41</v>
      </c>
      <c r="C39" s="4" t="s">
        <v>153</v>
      </c>
      <c r="D39" s="4" t="s">
        <v>151</v>
      </c>
      <c r="E39" s="4" t="n">
        <v>4</v>
      </c>
      <c r="F39" s="12" t="n">
        <v>9492</v>
      </c>
      <c r="G39" s="10" t="str">
        <f aca="false">IFERROR(INDEX(Mapping!$B$2:$B$100,MATCH(B39,Mapping!$A$2:$A$100,0)),"UNMATCHED")</f>
        <v>M01</v>
      </c>
    </row>
    <row r="40" customFormat="false" ht="15" hidden="false" customHeight="false" outlineLevel="0" collapsed="false">
      <c r="A40" s="4" t="s">
        <v>198</v>
      </c>
      <c r="B40" s="4" t="s">
        <v>45</v>
      </c>
      <c r="C40" s="4" t="s">
        <v>170</v>
      </c>
      <c r="D40" s="4" t="s">
        <v>175</v>
      </c>
      <c r="E40" s="4" t="n">
        <v>10</v>
      </c>
      <c r="F40" s="12" t="n">
        <v>22660</v>
      </c>
      <c r="G40" s="10" t="str">
        <f aca="false">IFERROR(INDEX(Mapping!$B$2:$B$100,MATCH(B40,Mapping!$A$2:$A$100,0)),"UNMATCHED")</f>
        <v>M01</v>
      </c>
    </row>
    <row r="41" customFormat="false" ht="15" hidden="false" customHeight="false" outlineLevel="0" collapsed="false">
      <c r="A41" s="4" t="s">
        <v>199</v>
      </c>
      <c r="B41" s="4" t="s">
        <v>48</v>
      </c>
      <c r="C41" s="4" t="s">
        <v>150</v>
      </c>
      <c r="D41" s="4" t="s">
        <v>163</v>
      </c>
      <c r="E41" s="4" t="n">
        <v>12</v>
      </c>
      <c r="F41" s="12" t="n">
        <v>21732</v>
      </c>
      <c r="G41" s="10" t="str">
        <f aca="false">IFERROR(INDEX(Mapping!$B$2:$B$100,MATCH(B41,Mapping!$A$2:$A$100,0)),"UNMATCHED")</f>
        <v>M01</v>
      </c>
    </row>
    <row r="42" customFormat="false" ht="15" hidden="false" customHeight="false" outlineLevel="0" collapsed="false">
      <c r="A42" s="4" t="s">
        <v>200</v>
      </c>
      <c r="B42" s="4" t="s">
        <v>48</v>
      </c>
      <c r="C42" s="4" t="s">
        <v>159</v>
      </c>
      <c r="D42" s="4" t="s">
        <v>175</v>
      </c>
      <c r="E42" s="4" t="n">
        <v>12</v>
      </c>
      <c r="F42" s="12" t="n">
        <v>25968</v>
      </c>
      <c r="G42" s="10" t="str">
        <f aca="false">IFERROR(INDEX(Mapping!$B$2:$B$100,MATCH(B42,Mapping!$A$2:$A$100,0)),"UNMATCHED")</f>
        <v>M01</v>
      </c>
    </row>
    <row r="43" customFormat="false" ht="15" hidden="false" customHeight="false" outlineLevel="0" collapsed="false">
      <c r="A43" s="4" t="s">
        <v>201</v>
      </c>
      <c r="B43" s="4" t="s">
        <v>45</v>
      </c>
      <c r="C43" s="4" t="s">
        <v>170</v>
      </c>
      <c r="D43" s="4" t="s">
        <v>154</v>
      </c>
      <c r="E43" s="4" t="n">
        <v>2</v>
      </c>
      <c r="F43" s="12" t="n">
        <v>3814</v>
      </c>
      <c r="G43" s="10" t="str">
        <f aca="false">IFERROR(INDEX(Mapping!$B$2:$B$100,MATCH(B43,Mapping!$A$2:$A$100,0)),"UNMATCHED")</f>
        <v>M01</v>
      </c>
    </row>
    <row r="44" customFormat="false" ht="15" hidden="false" customHeight="false" outlineLevel="0" collapsed="false">
      <c r="A44" s="4" t="s">
        <v>202</v>
      </c>
      <c r="B44" s="4" t="s">
        <v>45</v>
      </c>
      <c r="C44" s="4" t="s">
        <v>170</v>
      </c>
      <c r="D44" s="4" t="s">
        <v>175</v>
      </c>
      <c r="E44" s="4" t="n">
        <v>2</v>
      </c>
      <c r="F44" s="12" t="n">
        <v>5068</v>
      </c>
      <c r="G44" s="10" t="str">
        <f aca="false">IFERROR(INDEX(Mapping!$B$2:$B$100,MATCH(B44,Mapping!$A$2:$A$100,0)),"UNMATCHED")</f>
        <v>M01</v>
      </c>
    </row>
    <row r="45" customFormat="false" ht="15" hidden="false" customHeight="false" outlineLevel="0" collapsed="false">
      <c r="A45" s="4" t="s">
        <v>203</v>
      </c>
      <c r="B45" s="4" t="s">
        <v>41</v>
      </c>
      <c r="C45" s="4" t="s">
        <v>156</v>
      </c>
      <c r="D45" s="4" t="s">
        <v>151</v>
      </c>
      <c r="E45" s="4" t="n">
        <v>2</v>
      </c>
      <c r="F45" s="12" t="n">
        <v>3090</v>
      </c>
      <c r="G45" s="10" t="str">
        <f aca="false">IFERROR(INDEX(Mapping!$B$2:$B$100,MATCH(B45,Mapping!$A$2:$A$100,0)),"UNMATCHED")</f>
        <v>M01</v>
      </c>
    </row>
    <row r="46" customFormat="false" ht="15" hidden="false" customHeight="false" outlineLevel="0" collapsed="false">
      <c r="A46" s="4" t="s">
        <v>204</v>
      </c>
      <c r="B46" s="4" t="s">
        <v>41</v>
      </c>
      <c r="C46" s="4" t="s">
        <v>156</v>
      </c>
      <c r="D46" s="4" t="s">
        <v>175</v>
      </c>
      <c r="E46" s="4" t="n">
        <v>2</v>
      </c>
      <c r="F46" s="12" t="n">
        <v>4152</v>
      </c>
      <c r="G46" s="10" t="str">
        <f aca="false">IFERROR(INDEX(Mapping!$B$2:$B$100,MATCH(B46,Mapping!$A$2:$A$100,0)),"UNMATCHED")</f>
        <v>M01</v>
      </c>
    </row>
    <row r="47" customFormat="false" ht="15" hidden="false" customHeight="false" outlineLevel="0" collapsed="false">
      <c r="A47" s="4" t="s">
        <v>205</v>
      </c>
      <c r="B47" s="4" t="s">
        <v>41</v>
      </c>
      <c r="C47" s="4" t="s">
        <v>170</v>
      </c>
      <c r="D47" s="4" t="s">
        <v>175</v>
      </c>
      <c r="E47" s="4" t="n">
        <v>6</v>
      </c>
      <c r="F47" s="12" t="n">
        <v>14364</v>
      </c>
      <c r="G47" s="10" t="str">
        <f aca="false">IFERROR(INDEX(Mapping!$B$2:$B$100,MATCH(B47,Mapping!$A$2:$A$100,0)),"UNMATCHED")</f>
        <v>M01</v>
      </c>
    </row>
    <row r="48" customFormat="false" ht="15" hidden="false" customHeight="false" outlineLevel="0" collapsed="false">
      <c r="A48" s="4" t="s">
        <v>206</v>
      </c>
      <c r="B48" s="4" t="s">
        <v>41</v>
      </c>
      <c r="C48" s="4" t="s">
        <v>153</v>
      </c>
      <c r="D48" s="4" t="s">
        <v>163</v>
      </c>
      <c r="E48" s="4" t="n">
        <v>12</v>
      </c>
      <c r="F48" s="12" t="n">
        <v>30828</v>
      </c>
      <c r="G48" s="10" t="str">
        <f aca="false">IFERROR(INDEX(Mapping!$B$2:$B$100,MATCH(B48,Mapping!$A$2:$A$100,0)),"UNMATCHED")</f>
        <v>M01</v>
      </c>
    </row>
    <row r="49" customFormat="false" ht="15" hidden="false" customHeight="false" outlineLevel="0" collapsed="false">
      <c r="A49" s="4" t="s">
        <v>207</v>
      </c>
      <c r="B49" s="4" t="s">
        <v>41</v>
      </c>
      <c r="C49" s="4" t="s">
        <v>170</v>
      </c>
      <c r="D49" s="4" t="s">
        <v>154</v>
      </c>
      <c r="E49" s="4" t="n">
        <v>8</v>
      </c>
      <c r="F49" s="12" t="n">
        <v>17864</v>
      </c>
      <c r="G49" s="10" t="str">
        <f aca="false">IFERROR(INDEX(Mapping!$B$2:$B$100,MATCH(B49,Mapping!$A$2:$A$100,0)),"UNMATCHED")</f>
        <v>M01</v>
      </c>
    </row>
    <row r="50" customFormat="false" ht="15" hidden="false" customHeight="false" outlineLevel="0" collapsed="false">
      <c r="A50" s="4" t="s">
        <v>208</v>
      </c>
      <c r="B50" s="4" t="s">
        <v>41</v>
      </c>
      <c r="C50" s="4" t="s">
        <v>150</v>
      </c>
      <c r="D50" s="4" t="s">
        <v>163</v>
      </c>
      <c r="E50" s="4" t="n">
        <v>12</v>
      </c>
      <c r="F50" s="12" t="n">
        <v>27384</v>
      </c>
      <c r="G50" s="10" t="str">
        <f aca="false">IFERROR(INDEX(Mapping!$B$2:$B$100,MATCH(B50,Mapping!$A$2:$A$100,0)),"UNMATCHED")</f>
        <v>M01</v>
      </c>
    </row>
    <row r="51" customFormat="false" ht="15" hidden="false" customHeight="false" outlineLevel="0" collapsed="false">
      <c r="A51" s="4" t="s">
        <v>209</v>
      </c>
      <c r="B51" s="4" t="s">
        <v>45</v>
      </c>
      <c r="C51" s="4" t="s">
        <v>156</v>
      </c>
      <c r="D51" s="4" t="s">
        <v>154</v>
      </c>
      <c r="E51" s="4" t="n">
        <v>8</v>
      </c>
      <c r="F51" s="12" t="n">
        <v>12080</v>
      </c>
      <c r="G51" s="10" t="str">
        <f aca="false">IFERROR(INDEX(Mapping!$B$2:$B$100,MATCH(B51,Mapping!$A$2:$A$100,0)),"UNMATCHED")</f>
        <v>M01</v>
      </c>
    </row>
    <row r="52" customFormat="false" ht="15" hidden="false" customHeight="false" outlineLevel="0" collapsed="false">
      <c r="A52" s="4" t="s">
        <v>210</v>
      </c>
      <c r="B52" s="4" t="s">
        <v>45</v>
      </c>
      <c r="C52" s="4" t="s">
        <v>156</v>
      </c>
      <c r="D52" s="4" t="s">
        <v>151</v>
      </c>
      <c r="E52" s="4" t="n">
        <v>12</v>
      </c>
      <c r="F52" s="12" t="n">
        <v>25128</v>
      </c>
      <c r="G52" s="10" t="str">
        <f aca="false">IFERROR(INDEX(Mapping!$B$2:$B$100,MATCH(B52,Mapping!$A$2:$A$100,0)),"UNMATCHED")</f>
        <v>M01</v>
      </c>
    </row>
    <row r="53" customFormat="false" ht="15" hidden="false" customHeight="false" outlineLevel="0" collapsed="false">
      <c r="A53" s="4" t="s">
        <v>211</v>
      </c>
      <c r="B53" s="4" t="s">
        <v>41</v>
      </c>
      <c r="C53" s="4" t="s">
        <v>159</v>
      </c>
      <c r="D53" s="4" t="s">
        <v>151</v>
      </c>
      <c r="E53" s="4" t="n">
        <v>4</v>
      </c>
      <c r="F53" s="12" t="n">
        <v>9992</v>
      </c>
      <c r="G53" s="10" t="str">
        <f aca="false">IFERROR(INDEX(Mapping!$B$2:$B$100,MATCH(B53,Mapping!$A$2:$A$100,0)),"UNMATCHED")</f>
        <v>M01</v>
      </c>
    </row>
    <row r="54" customFormat="false" ht="15" hidden="false" customHeight="false" outlineLevel="0" collapsed="false">
      <c r="A54" s="4" t="s">
        <v>212</v>
      </c>
      <c r="B54" s="4" t="s">
        <v>45</v>
      </c>
      <c r="C54" s="4" t="s">
        <v>159</v>
      </c>
      <c r="D54" s="4" t="s">
        <v>151</v>
      </c>
      <c r="E54" s="4" t="n">
        <v>4</v>
      </c>
      <c r="F54" s="12" t="n">
        <v>7880</v>
      </c>
      <c r="G54" s="10" t="str">
        <f aca="false">IFERROR(INDEX(Mapping!$B$2:$B$100,MATCH(B54,Mapping!$A$2:$A$100,0)),"UNMATCHED")</f>
        <v>M01</v>
      </c>
    </row>
    <row r="55" customFormat="false" ht="15" hidden="false" customHeight="false" outlineLevel="0" collapsed="false">
      <c r="A55" s="4" t="s">
        <v>213</v>
      </c>
      <c r="B55" s="4" t="s">
        <v>41</v>
      </c>
      <c r="C55" s="4" t="s">
        <v>156</v>
      </c>
      <c r="D55" s="4" t="s">
        <v>154</v>
      </c>
      <c r="E55" s="4" t="n">
        <v>8</v>
      </c>
      <c r="F55" s="12" t="n">
        <v>20216</v>
      </c>
      <c r="G55" s="10" t="str">
        <f aca="false">IFERROR(INDEX(Mapping!$B$2:$B$100,MATCH(B55,Mapping!$A$2:$A$100,0)),"UNMATCHED")</f>
        <v>M01</v>
      </c>
    </row>
    <row r="56" customFormat="false" ht="15" hidden="false" customHeight="false" outlineLevel="0" collapsed="false">
      <c r="A56" s="4" t="s">
        <v>214</v>
      </c>
      <c r="B56" s="4" t="s">
        <v>48</v>
      </c>
      <c r="C56" s="4" t="s">
        <v>156</v>
      </c>
      <c r="D56" s="4" t="s">
        <v>151</v>
      </c>
      <c r="E56" s="4" t="n">
        <v>10</v>
      </c>
      <c r="F56" s="12" t="n">
        <v>14300</v>
      </c>
      <c r="G56" s="10" t="str">
        <f aca="false">IFERROR(INDEX(Mapping!$B$2:$B$100,MATCH(B56,Mapping!$A$2:$A$100,0)),"UNMATCHED")</f>
        <v>M01</v>
      </c>
    </row>
    <row r="57" customFormat="false" ht="15" hidden="false" customHeight="false" outlineLevel="0" collapsed="false">
      <c r="A57" s="4" t="s">
        <v>215</v>
      </c>
      <c r="B57" s="4" t="s">
        <v>41</v>
      </c>
      <c r="C57" s="4" t="s">
        <v>159</v>
      </c>
      <c r="D57" s="4" t="s">
        <v>151</v>
      </c>
      <c r="E57" s="4" t="n">
        <v>8</v>
      </c>
      <c r="F57" s="12" t="n">
        <v>19152</v>
      </c>
      <c r="G57" s="10" t="str">
        <f aca="false">IFERROR(INDEX(Mapping!$B$2:$B$100,MATCH(B57,Mapping!$A$2:$A$100,0)),"UNMATCHED")</f>
        <v>M01</v>
      </c>
    </row>
    <row r="58" customFormat="false" ht="15" hidden="false" customHeight="false" outlineLevel="0" collapsed="false">
      <c r="A58" s="4" t="s">
        <v>216</v>
      </c>
      <c r="B58" s="4" t="s">
        <v>45</v>
      </c>
      <c r="C58" s="4" t="s">
        <v>159</v>
      </c>
      <c r="D58" s="4" t="s">
        <v>154</v>
      </c>
      <c r="E58" s="4" t="n">
        <v>2</v>
      </c>
      <c r="F58" s="12" t="n">
        <v>3474</v>
      </c>
      <c r="G58" s="10" t="str">
        <f aca="false">IFERROR(INDEX(Mapping!$B$2:$B$100,MATCH(B58,Mapping!$A$2:$A$100,0)),"UNMATCHED")</f>
        <v>M01</v>
      </c>
    </row>
    <row r="59" customFormat="false" ht="15" hidden="false" customHeight="false" outlineLevel="0" collapsed="false">
      <c r="A59" s="4" t="s">
        <v>217</v>
      </c>
      <c r="B59" s="4" t="s">
        <v>45</v>
      </c>
      <c r="C59" s="4" t="s">
        <v>150</v>
      </c>
      <c r="D59" s="4" t="s">
        <v>163</v>
      </c>
      <c r="E59" s="4" t="n">
        <v>6</v>
      </c>
      <c r="F59" s="12" t="n">
        <v>13986</v>
      </c>
      <c r="G59" s="10" t="str">
        <f aca="false">IFERROR(INDEX(Mapping!$B$2:$B$100,MATCH(B59,Mapping!$A$2:$A$100,0)),"UNMATCHED")</f>
        <v>M01</v>
      </c>
    </row>
    <row r="60" customFormat="false" ht="15" hidden="false" customHeight="false" outlineLevel="0" collapsed="false">
      <c r="A60" s="4" t="s">
        <v>218</v>
      </c>
      <c r="B60" s="4" t="s">
        <v>48</v>
      </c>
      <c r="C60" s="4" t="s">
        <v>159</v>
      </c>
      <c r="D60" s="4" t="s">
        <v>151</v>
      </c>
      <c r="E60" s="4" t="n">
        <v>12</v>
      </c>
      <c r="F60" s="12" t="n">
        <v>30456</v>
      </c>
      <c r="G60" s="10" t="str">
        <f aca="false">IFERROR(INDEX(Mapping!$B$2:$B$100,MATCH(B60,Mapping!$A$2:$A$100,0)),"UNMATCHED")</f>
        <v>M01</v>
      </c>
    </row>
    <row r="61" customFormat="false" ht="15" hidden="false" customHeight="false" outlineLevel="0" collapsed="false">
      <c r="A61" s="4" t="s">
        <v>219</v>
      </c>
      <c r="B61" s="4" t="s">
        <v>41</v>
      </c>
      <c r="C61" s="4" t="s">
        <v>156</v>
      </c>
      <c r="D61" s="4" t="s">
        <v>175</v>
      </c>
      <c r="E61" s="4" t="n">
        <v>6</v>
      </c>
      <c r="F61" s="12" t="n">
        <v>11070</v>
      </c>
      <c r="G61" s="10" t="str">
        <f aca="false">IFERROR(INDEX(Mapping!$B$2:$B$100,MATCH(B61,Mapping!$A$2:$A$100,0)),"UNMATCHED")</f>
        <v>M01</v>
      </c>
    </row>
    <row r="62" customFormat="false" ht="15" hidden="false" customHeight="false" outlineLevel="0" collapsed="false">
      <c r="A62" s="4" t="s">
        <v>220</v>
      </c>
      <c r="B62" s="4" t="s">
        <v>51</v>
      </c>
      <c r="C62" s="4" t="s">
        <v>156</v>
      </c>
      <c r="D62" s="4" t="s">
        <v>154</v>
      </c>
      <c r="E62" s="4" t="n">
        <v>12</v>
      </c>
      <c r="F62" s="12" t="n">
        <v>24504</v>
      </c>
      <c r="G62" s="10" t="str">
        <f aca="false">IFERROR(INDEX(Mapping!$B$2:$B$100,MATCH(B62,Mapping!$A$2:$A$100,0)),"UNMATCHED")</f>
        <v>M02</v>
      </c>
    </row>
    <row r="63" customFormat="false" ht="15" hidden="false" customHeight="false" outlineLevel="0" collapsed="false">
      <c r="A63" s="4" t="s">
        <v>221</v>
      </c>
      <c r="B63" s="4" t="s">
        <v>55</v>
      </c>
      <c r="C63" s="4" t="s">
        <v>170</v>
      </c>
      <c r="D63" s="4" t="s">
        <v>154</v>
      </c>
      <c r="E63" s="4" t="n">
        <v>10</v>
      </c>
      <c r="F63" s="12" t="n">
        <v>24870</v>
      </c>
      <c r="G63" s="10" t="str">
        <f aca="false">IFERROR(INDEX(Mapping!$B$2:$B$100,MATCH(B63,Mapping!$A$2:$A$100,0)),"UNMATCHED")</f>
        <v>M02</v>
      </c>
    </row>
    <row r="64" customFormat="false" ht="15" hidden="false" customHeight="false" outlineLevel="0" collapsed="false">
      <c r="A64" s="4" t="s">
        <v>222</v>
      </c>
      <c r="B64" s="4" t="s">
        <v>51</v>
      </c>
      <c r="C64" s="4" t="s">
        <v>153</v>
      </c>
      <c r="D64" s="4" t="s">
        <v>154</v>
      </c>
      <c r="E64" s="4" t="n">
        <v>4</v>
      </c>
      <c r="F64" s="12" t="n">
        <v>6160</v>
      </c>
      <c r="G64" s="10" t="str">
        <f aca="false">IFERROR(INDEX(Mapping!$B$2:$B$100,MATCH(B64,Mapping!$A$2:$A$100,0)),"UNMATCHED")</f>
        <v>M02</v>
      </c>
    </row>
    <row r="65" customFormat="false" ht="15" hidden="false" customHeight="false" outlineLevel="0" collapsed="false">
      <c r="A65" s="4" t="s">
        <v>223</v>
      </c>
      <c r="B65" s="4" t="s">
        <v>51</v>
      </c>
      <c r="C65" s="4" t="s">
        <v>153</v>
      </c>
      <c r="D65" s="4" t="s">
        <v>151</v>
      </c>
      <c r="E65" s="4" t="n">
        <v>8</v>
      </c>
      <c r="F65" s="12" t="n">
        <v>13160</v>
      </c>
      <c r="G65" s="10" t="str">
        <f aca="false">IFERROR(INDEX(Mapping!$B$2:$B$100,MATCH(B65,Mapping!$A$2:$A$100,0)),"UNMATCHED")</f>
        <v>M02</v>
      </c>
    </row>
    <row r="66" customFormat="false" ht="15" hidden="false" customHeight="false" outlineLevel="0" collapsed="false">
      <c r="A66" s="4" t="s">
        <v>224</v>
      </c>
      <c r="B66" s="4" t="s">
        <v>51</v>
      </c>
      <c r="C66" s="4" t="s">
        <v>159</v>
      </c>
      <c r="D66" s="4" t="s">
        <v>168</v>
      </c>
      <c r="E66" s="4" t="n">
        <v>10</v>
      </c>
      <c r="F66" s="12" t="n">
        <v>15670</v>
      </c>
      <c r="G66" s="10" t="str">
        <f aca="false">IFERROR(INDEX(Mapping!$B$2:$B$100,MATCH(B66,Mapping!$A$2:$A$100,0)),"UNMATCHED")</f>
        <v>M02</v>
      </c>
    </row>
    <row r="67" customFormat="false" ht="15" hidden="false" customHeight="false" outlineLevel="0" collapsed="false">
      <c r="A67" s="4" t="s">
        <v>225</v>
      </c>
      <c r="B67" s="4" t="s">
        <v>55</v>
      </c>
      <c r="C67" s="4" t="s">
        <v>150</v>
      </c>
      <c r="D67" s="4" t="s">
        <v>151</v>
      </c>
      <c r="E67" s="4" t="n">
        <v>6</v>
      </c>
      <c r="F67" s="12" t="n">
        <v>10908</v>
      </c>
      <c r="G67" s="10" t="str">
        <f aca="false">IFERROR(INDEX(Mapping!$B$2:$B$100,MATCH(B67,Mapping!$A$2:$A$100,0)),"UNMATCHED")</f>
        <v>M02</v>
      </c>
    </row>
    <row r="68" customFormat="false" ht="15" hidden="false" customHeight="false" outlineLevel="0" collapsed="false">
      <c r="A68" s="4" t="s">
        <v>226</v>
      </c>
      <c r="B68" s="4" t="s">
        <v>55</v>
      </c>
      <c r="C68" s="4" t="s">
        <v>150</v>
      </c>
      <c r="D68" s="4" t="s">
        <v>163</v>
      </c>
      <c r="E68" s="4" t="n">
        <v>8</v>
      </c>
      <c r="F68" s="12" t="n">
        <v>13344</v>
      </c>
      <c r="G68" s="10" t="str">
        <f aca="false">IFERROR(INDEX(Mapping!$B$2:$B$100,MATCH(B68,Mapping!$A$2:$A$100,0)),"UNMATCHED")</f>
        <v>M02</v>
      </c>
    </row>
    <row r="69" customFormat="false" ht="15" hidden="false" customHeight="false" outlineLevel="0" collapsed="false">
      <c r="A69" s="4" t="s">
        <v>227</v>
      </c>
      <c r="B69" s="4" t="s">
        <v>55</v>
      </c>
      <c r="C69" s="4" t="s">
        <v>159</v>
      </c>
      <c r="D69" s="4" t="s">
        <v>175</v>
      </c>
      <c r="E69" s="4" t="n">
        <v>2</v>
      </c>
      <c r="F69" s="12" t="n">
        <v>2838</v>
      </c>
      <c r="G69" s="10" t="str">
        <f aca="false">IFERROR(INDEX(Mapping!$B$2:$B$100,MATCH(B69,Mapping!$A$2:$A$100,0)),"UNMATCHED")</f>
        <v>M02</v>
      </c>
    </row>
    <row r="70" customFormat="false" ht="15" hidden="false" customHeight="false" outlineLevel="0" collapsed="false">
      <c r="A70" s="4" t="s">
        <v>228</v>
      </c>
      <c r="B70" s="4" t="s">
        <v>51</v>
      </c>
      <c r="C70" s="4" t="s">
        <v>170</v>
      </c>
      <c r="D70" s="4" t="s">
        <v>175</v>
      </c>
      <c r="E70" s="4" t="n">
        <v>2</v>
      </c>
      <c r="F70" s="12" t="n">
        <v>5002</v>
      </c>
      <c r="G70" s="10" t="str">
        <f aca="false">IFERROR(INDEX(Mapping!$B$2:$B$100,MATCH(B70,Mapping!$A$2:$A$100,0)),"UNMATCHED")</f>
        <v>M02</v>
      </c>
    </row>
    <row r="71" customFormat="false" ht="15" hidden="false" customHeight="false" outlineLevel="0" collapsed="false">
      <c r="A71" s="4" t="s">
        <v>229</v>
      </c>
      <c r="B71" s="4" t="s">
        <v>55</v>
      </c>
      <c r="C71" s="4" t="s">
        <v>156</v>
      </c>
      <c r="D71" s="4" t="s">
        <v>151</v>
      </c>
      <c r="E71" s="4" t="n">
        <v>4</v>
      </c>
      <c r="F71" s="12" t="n">
        <v>8456</v>
      </c>
      <c r="G71" s="10" t="str">
        <f aca="false">IFERROR(INDEX(Mapping!$B$2:$B$100,MATCH(B71,Mapping!$A$2:$A$100,0)),"UNMATCHED")</f>
        <v>M02</v>
      </c>
    </row>
    <row r="72" customFormat="false" ht="15" hidden="false" customHeight="false" outlineLevel="0" collapsed="false">
      <c r="A72" s="4" t="s">
        <v>230</v>
      </c>
      <c r="B72" s="4" t="s">
        <v>55</v>
      </c>
      <c r="C72" s="4" t="s">
        <v>159</v>
      </c>
      <c r="D72" s="4" t="s">
        <v>175</v>
      </c>
      <c r="E72" s="4" t="n">
        <v>6</v>
      </c>
      <c r="F72" s="12" t="n">
        <v>10338</v>
      </c>
      <c r="G72" s="10" t="str">
        <f aca="false">IFERROR(INDEX(Mapping!$B$2:$B$100,MATCH(B72,Mapping!$A$2:$A$100,0)),"UNMATCHED")</f>
        <v>M02</v>
      </c>
    </row>
    <row r="73" customFormat="false" ht="15" hidden="false" customHeight="false" outlineLevel="0" collapsed="false">
      <c r="A73" s="4" t="s">
        <v>231</v>
      </c>
      <c r="B73" s="4" t="s">
        <v>55</v>
      </c>
      <c r="C73" s="4" t="s">
        <v>156</v>
      </c>
      <c r="D73" s="4" t="s">
        <v>168</v>
      </c>
      <c r="E73" s="4" t="n">
        <v>10</v>
      </c>
      <c r="F73" s="12" t="n">
        <v>24830</v>
      </c>
      <c r="G73" s="10" t="str">
        <f aca="false">IFERROR(INDEX(Mapping!$B$2:$B$100,MATCH(B73,Mapping!$A$2:$A$100,0)),"UNMATCHED")</f>
        <v>M02</v>
      </c>
    </row>
    <row r="74" customFormat="false" ht="15" hidden="false" customHeight="false" outlineLevel="0" collapsed="false">
      <c r="A74" s="4" t="s">
        <v>232</v>
      </c>
      <c r="B74" s="4" t="s">
        <v>55</v>
      </c>
      <c r="C74" s="4" t="s">
        <v>170</v>
      </c>
      <c r="D74" s="4" t="s">
        <v>165</v>
      </c>
      <c r="E74" s="4" t="n">
        <v>12</v>
      </c>
      <c r="F74" s="12" t="n">
        <v>19344</v>
      </c>
      <c r="G74" s="10" t="str">
        <f aca="false">IFERROR(INDEX(Mapping!$B$2:$B$100,MATCH(B74,Mapping!$A$2:$A$100,0)),"UNMATCHED")</f>
        <v>M02</v>
      </c>
    </row>
    <row r="75" customFormat="false" ht="15" hidden="false" customHeight="false" outlineLevel="0" collapsed="false">
      <c r="A75" s="4" t="s">
        <v>233</v>
      </c>
      <c r="B75" s="4" t="s">
        <v>51</v>
      </c>
      <c r="C75" s="4" t="s">
        <v>170</v>
      </c>
      <c r="D75" s="4" t="s">
        <v>165</v>
      </c>
      <c r="E75" s="4" t="n">
        <v>2</v>
      </c>
      <c r="F75" s="12" t="n">
        <v>5066</v>
      </c>
      <c r="G75" s="10" t="str">
        <f aca="false">IFERROR(INDEX(Mapping!$B$2:$B$100,MATCH(B75,Mapping!$A$2:$A$100,0)),"UNMATCHED")</f>
        <v>M02</v>
      </c>
    </row>
    <row r="76" customFormat="false" ht="15" hidden="false" customHeight="false" outlineLevel="0" collapsed="false">
      <c r="A76" s="4" t="s">
        <v>234</v>
      </c>
      <c r="B76" s="4" t="s">
        <v>55</v>
      </c>
      <c r="C76" s="4" t="s">
        <v>150</v>
      </c>
      <c r="D76" s="4" t="s">
        <v>151</v>
      </c>
      <c r="E76" s="4" t="n">
        <v>10</v>
      </c>
      <c r="F76" s="12" t="n">
        <v>18310</v>
      </c>
      <c r="G76" s="10" t="str">
        <f aca="false">IFERROR(INDEX(Mapping!$B$2:$B$100,MATCH(B76,Mapping!$A$2:$A$100,0)),"UNMATCHED")</f>
        <v>M02</v>
      </c>
    </row>
    <row r="77" customFormat="false" ht="15" hidden="false" customHeight="false" outlineLevel="0" collapsed="false">
      <c r="A77" s="4" t="s">
        <v>235</v>
      </c>
      <c r="B77" s="4" t="s">
        <v>55</v>
      </c>
      <c r="C77" s="4" t="s">
        <v>150</v>
      </c>
      <c r="D77" s="4" t="s">
        <v>154</v>
      </c>
      <c r="E77" s="4" t="n">
        <v>10</v>
      </c>
      <c r="F77" s="12" t="n">
        <v>24000</v>
      </c>
      <c r="G77" s="10" t="str">
        <f aca="false">IFERROR(INDEX(Mapping!$B$2:$B$100,MATCH(B77,Mapping!$A$2:$A$100,0)),"UNMATCHED")</f>
        <v>M02</v>
      </c>
    </row>
    <row r="78" customFormat="false" ht="15" hidden="false" customHeight="false" outlineLevel="0" collapsed="false">
      <c r="A78" s="4" t="s">
        <v>236</v>
      </c>
      <c r="B78" s="4" t="s">
        <v>51</v>
      </c>
      <c r="C78" s="4" t="s">
        <v>150</v>
      </c>
      <c r="D78" s="4" t="s">
        <v>154</v>
      </c>
      <c r="E78" s="4" t="n">
        <v>12</v>
      </c>
      <c r="F78" s="12" t="n">
        <v>27204</v>
      </c>
      <c r="G78" s="10" t="str">
        <f aca="false">IFERROR(INDEX(Mapping!$B$2:$B$100,MATCH(B78,Mapping!$A$2:$A$100,0)),"UNMATCHED")</f>
        <v>M02</v>
      </c>
    </row>
    <row r="79" customFormat="false" ht="15" hidden="false" customHeight="false" outlineLevel="0" collapsed="false">
      <c r="A79" s="4" t="s">
        <v>237</v>
      </c>
      <c r="B79" s="4" t="s">
        <v>51</v>
      </c>
      <c r="C79" s="4" t="s">
        <v>150</v>
      </c>
      <c r="D79" s="4" t="s">
        <v>151</v>
      </c>
      <c r="E79" s="4" t="n">
        <v>6</v>
      </c>
      <c r="F79" s="12" t="n">
        <v>10002</v>
      </c>
      <c r="G79" s="10" t="str">
        <f aca="false">IFERROR(INDEX(Mapping!$B$2:$B$100,MATCH(B79,Mapping!$A$2:$A$100,0)),"UNMATCHED")</f>
        <v>M02</v>
      </c>
    </row>
    <row r="80" customFormat="false" ht="15" hidden="false" customHeight="false" outlineLevel="0" collapsed="false">
      <c r="A80" s="4" t="s">
        <v>238</v>
      </c>
      <c r="B80" s="4" t="s">
        <v>55</v>
      </c>
      <c r="C80" s="4" t="s">
        <v>153</v>
      </c>
      <c r="D80" s="4" t="s">
        <v>154</v>
      </c>
      <c r="E80" s="4" t="n">
        <v>10</v>
      </c>
      <c r="F80" s="12" t="n">
        <v>22750</v>
      </c>
      <c r="G80" s="10" t="str">
        <f aca="false">IFERROR(INDEX(Mapping!$B$2:$B$100,MATCH(B80,Mapping!$A$2:$A$100,0)),"UNMATCHED")</f>
        <v>M02</v>
      </c>
    </row>
    <row r="81" customFormat="false" ht="15" hidden="false" customHeight="false" outlineLevel="0" collapsed="false">
      <c r="A81" s="4" t="s">
        <v>239</v>
      </c>
      <c r="B81" s="4" t="s">
        <v>51</v>
      </c>
      <c r="C81" s="4" t="s">
        <v>153</v>
      </c>
      <c r="D81" s="4" t="s">
        <v>154</v>
      </c>
      <c r="E81" s="4" t="n">
        <v>2</v>
      </c>
      <c r="F81" s="12" t="n">
        <v>3410</v>
      </c>
      <c r="G81" s="10" t="str">
        <f aca="false">IFERROR(INDEX(Mapping!$B$2:$B$100,MATCH(B81,Mapping!$A$2:$A$100,0)),"UNMATCHED")</f>
        <v>M02</v>
      </c>
    </row>
    <row r="82" customFormat="false" ht="15" hidden="false" customHeight="false" outlineLevel="0" collapsed="false">
      <c r="A82" s="4" t="s">
        <v>240</v>
      </c>
      <c r="B82" s="4" t="s">
        <v>55</v>
      </c>
      <c r="C82" s="4" t="s">
        <v>170</v>
      </c>
      <c r="D82" s="4" t="s">
        <v>163</v>
      </c>
      <c r="E82" s="4" t="n">
        <v>10</v>
      </c>
      <c r="F82" s="12" t="n">
        <v>25310</v>
      </c>
      <c r="G82" s="10" t="str">
        <f aca="false">IFERROR(INDEX(Mapping!$B$2:$B$100,MATCH(B82,Mapping!$A$2:$A$100,0)),"UNMATCHED")</f>
        <v>M02</v>
      </c>
    </row>
    <row r="83" customFormat="false" ht="15" hidden="false" customHeight="false" outlineLevel="0" collapsed="false">
      <c r="A83" s="4" t="s">
        <v>241</v>
      </c>
      <c r="B83" s="4" t="s">
        <v>51</v>
      </c>
      <c r="C83" s="4" t="s">
        <v>150</v>
      </c>
      <c r="D83" s="4" t="s">
        <v>154</v>
      </c>
      <c r="E83" s="4" t="n">
        <v>2</v>
      </c>
      <c r="F83" s="12" t="n">
        <v>4062</v>
      </c>
      <c r="G83" s="10" t="str">
        <f aca="false">IFERROR(INDEX(Mapping!$B$2:$B$100,MATCH(B83,Mapping!$A$2:$A$100,0)),"UNMATCHED")</f>
        <v>M02</v>
      </c>
    </row>
    <row r="84" customFormat="false" ht="15" hidden="false" customHeight="false" outlineLevel="0" collapsed="false">
      <c r="A84" s="4" t="s">
        <v>242</v>
      </c>
      <c r="B84" s="4" t="s">
        <v>55</v>
      </c>
      <c r="C84" s="4" t="s">
        <v>156</v>
      </c>
      <c r="D84" s="4" t="s">
        <v>165</v>
      </c>
      <c r="E84" s="4" t="n">
        <v>4</v>
      </c>
      <c r="F84" s="12" t="n">
        <v>7644</v>
      </c>
      <c r="G84" s="10" t="str">
        <f aca="false">IFERROR(INDEX(Mapping!$B$2:$B$100,MATCH(B84,Mapping!$A$2:$A$100,0)),"UNMATCHED")</f>
        <v>M02</v>
      </c>
    </row>
    <row r="85" customFormat="false" ht="15" hidden="false" customHeight="false" outlineLevel="0" collapsed="false">
      <c r="A85" s="4" t="s">
        <v>243</v>
      </c>
      <c r="B85" s="4" t="s">
        <v>55</v>
      </c>
      <c r="C85" s="4" t="s">
        <v>170</v>
      </c>
      <c r="D85" s="4" t="s">
        <v>151</v>
      </c>
      <c r="E85" s="4" t="n">
        <v>10</v>
      </c>
      <c r="F85" s="12" t="n">
        <v>17160</v>
      </c>
      <c r="G85" s="10" t="str">
        <f aca="false">IFERROR(INDEX(Mapping!$B$2:$B$100,MATCH(B85,Mapping!$A$2:$A$100,0)),"UNMATCHED")</f>
        <v>M02</v>
      </c>
    </row>
    <row r="86" customFormat="false" ht="15" hidden="false" customHeight="false" outlineLevel="0" collapsed="false">
      <c r="A86" s="4" t="s">
        <v>244</v>
      </c>
      <c r="B86" s="4" t="s">
        <v>51</v>
      </c>
      <c r="C86" s="4" t="s">
        <v>170</v>
      </c>
      <c r="D86" s="4" t="s">
        <v>168</v>
      </c>
      <c r="E86" s="4" t="n">
        <v>8</v>
      </c>
      <c r="F86" s="12" t="n">
        <v>11600</v>
      </c>
      <c r="G86" s="10" t="str">
        <f aca="false">IFERROR(INDEX(Mapping!$B$2:$B$100,MATCH(B86,Mapping!$A$2:$A$100,0)),"UNMATCHED")</f>
        <v>M02</v>
      </c>
    </row>
    <row r="87" customFormat="false" ht="15" hidden="false" customHeight="false" outlineLevel="0" collapsed="false">
      <c r="A87" s="4" t="s">
        <v>245</v>
      </c>
      <c r="B87" s="4" t="s">
        <v>55</v>
      </c>
      <c r="C87" s="4" t="s">
        <v>150</v>
      </c>
      <c r="D87" s="4" t="s">
        <v>151</v>
      </c>
      <c r="E87" s="4" t="n">
        <v>8</v>
      </c>
      <c r="F87" s="12" t="n">
        <v>15264</v>
      </c>
      <c r="G87" s="10" t="str">
        <f aca="false">IFERROR(INDEX(Mapping!$B$2:$B$100,MATCH(B87,Mapping!$A$2:$A$100,0)),"UNMATCHED")</f>
        <v>M02</v>
      </c>
    </row>
    <row r="88" customFormat="false" ht="15" hidden="false" customHeight="false" outlineLevel="0" collapsed="false">
      <c r="A88" s="4" t="s">
        <v>246</v>
      </c>
      <c r="B88" s="4" t="s">
        <v>51</v>
      </c>
      <c r="C88" s="4" t="s">
        <v>159</v>
      </c>
      <c r="D88" s="4" t="s">
        <v>151</v>
      </c>
      <c r="E88" s="4" t="n">
        <v>8</v>
      </c>
      <c r="F88" s="12" t="n">
        <v>11832</v>
      </c>
      <c r="G88" s="10" t="str">
        <f aca="false">IFERROR(INDEX(Mapping!$B$2:$B$100,MATCH(B88,Mapping!$A$2:$A$100,0)),"UNMATCHED")</f>
        <v>M02</v>
      </c>
    </row>
    <row r="89" customFormat="false" ht="15" hidden="false" customHeight="false" outlineLevel="0" collapsed="false">
      <c r="A89" s="4" t="s">
        <v>247</v>
      </c>
      <c r="B89" s="4" t="s">
        <v>51</v>
      </c>
      <c r="C89" s="4" t="s">
        <v>150</v>
      </c>
      <c r="D89" s="4" t="s">
        <v>151</v>
      </c>
      <c r="E89" s="4" t="n">
        <v>8</v>
      </c>
      <c r="F89" s="12" t="n">
        <v>16928</v>
      </c>
      <c r="G89" s="10" t="str">
        <f aca="false">IFERROR(INDEX(Mapping!$B$2:$B$100,MATCH(B89,Mapping!$A$2:$A$100,0)),"UNMATCHED")</f>
        <v>M02</v>
      </c>
    </row>
    <row r="90" customFormat="false" ht="15" hidden="false" customHeight="false" outlineLevel="0" collapsed="false">
      <c r="A90" s="4" t="s">
        <v>248</v>
      </c>
      <c r="B90" s="4" t="s">
        <v>51</v>
      </c>
      <c r="C90" s="4" t="s">
        <v>159</v>
      </c>
      <c r="D90" s="4" t="s">
        <v>165</v>
      </c>
      <c r="E90" s="4" t="n">
        <v>2</v>
      </c>
      <c r="F90" s="12" t="n">
        <v>3590</v>
      </c>
      <c r="G90" s="10" t="str">
        <f aca="false">IFERROR(INDEX(Mapping!$B$2:$B$100,MATCH(B90,Mapping!$A$2:$A$100,0)),"UNMATCHED")</f>
        <v>M02</v>
      </c>
    </row>
    <row r="91" customFormat="false" ht="15" hidden="false" customHeight="false" outlineLevel="0" collapsed="false">
      <c r="A91" s="4" t="s">
        <v>249</v>
      </c>
      <c r="B91" s="4" t="s">
        <v>55</v>
      </c>
      <c r="C91" s="4" t="s">
        <v>150</v>
      </c>
      <c r="D91" s="4" t="s">
        <v>168</v>
      </c>
      <c r="E91" s="4" t="n">
        <v>2</v>
      </c>
      <c r="F91" s="12" t="n">
        <v>3942</v>
      </c>
      <c r="G91" s="10" t="str">
        <f aca="false">IFERROR(INDEX(Mapping!$B$2:$B$100,MATCH(B91,Mapping!$A$2:$A$100,0)),"UNMATCHED")</f>
        <v>M02</v>
      </c>
    </row>
    <row r="92" customFormat="false" ht="15" hidden="false" customHeight="false" outlineLevel="0" collapsed="false">
      <c r="A92" s="4" t="s">
        <v>250</v>
      </c>
      <c r="B92" s="4" t="s">
        <v>55</v>
      </c>
      <c r="C92" s="4" t="s">
        <v>150</v>
      </c>
      <c r="D92" s="4" t="s">
        <v>154</v>
      </c>
      <c r="E92" s="4" t="n">
        <v>12</v>
      </c>
      <c r="F92" s="12" t="n">
        <v>29976</v>
      </c>
      <c r="G92" s="10" t="str">
        <f aca="false">IFERROR(INDEX(Mapping!$B$2:$B$100,MATCH(B92,Mapping!$A$2:$A$100,0)),"UNMATCHED")</f>
        <v>M02</v>
      </c>
    </row>
    <row r="93" customFormat="false" ht="15" hidden="false" customHeight="false" outlineLevel="0" collapsed="false">
      <c r="A93" s="4" t="s">
        <v>251</v>
      </c>
      <c r="B93" s="4" t="s">
        <v>51</v>
      </c>
      <c r="C93" s="4" t="s">
        <v>153</v>
      </c>
      <c r="D93" s="4" t="s">
        <v>165</v>
      </c>
      <c r="E93" s="4" t="n">
        <v>6</v>
      </c>
      <c r="F93" s="12" t="n">
        <v>10590</v>
      </c>
      <c r="G93" s="10" t="str">
        <f aca="false">IFERROR(INDEX(Mapping!$B$2:$B$100,MATCH(B93,Mapping!$A$2:$A$100,0)),"UNMATCHED")</f>
        <v>M02</v>
      </c>
    </row>
    <row r="94" customFormat="false" ht="15" hidden="false" customHeight="false" outlineLevel="0" collapsed="false">
      <c r="A94" s="4" t="s">
        <v>252</v>
      </c>
      <c r="B94" s="4" t="s">
        <v>51</v>
      </c>
      <c r="C94" s="4" t="s">
        <v>150</v>
      </c>
      <c r="D94" s="4" t="s">
        <v>168</v>
      </c>
      <c r="E94" s="4" t="n">
        <v>2</v>
      </c>
      <c r="F94" s="12" t="n">
        <v>4578</v>
      </c>
      <c r="G94" s="10" t="str">
        <f aca="false">IFERROR(INDEX(Mapping!$B$2:$B$100,MATCH(B94,Mapping!$A$2:$A$100,0)),"UNMATCHED")</f>
        <v>M02</v>
      </c>
    </row>
    <row r="95" customFormat="false" ht="15" hidden="false" customHeight="false" outlineLevel="0" collapsed="false">
      <c r="A95" s="4" t="s">
        <v>253</v>
      </c>
      <c r="B95" s="4" t="s">
        <v>55</v>
      </c>
      <c r="C95" s="4" t="s">
        <v>156</v>
      </c>
      <c r="D95" s="4" t="s">
        <v>163</v>
      </c>
      <c r="E95" s="4" t="n">
        <v>8</v>
      </c>
      <c r="F95" s="12" t="n">
        <v>19576</v>
      </c>
      <c r="G95" s="10" t="str">
        <f aca="false">IFERROR(INDEX(Mapping!$B$2:$B$100,MATCH(B95,Mapping!$A$2:$A$100,0)),"UNMATCHED")</f>
        <v>M02</v>
      </c>
    </row>
    <row r="96" customFormat="false" ht="15" hidden="false" customHeight="false" outlineLevel="0" collapsed="false">
      <c r="A96" s="4" t="s">
        <v>254</v>
      </c>
      <c r="B96" s="4" t="s">
        <v>51</v>
      </c>
      <c r="C96" s="4" t="s">
        <v>159</v>
      </c>
      <c r="D96" s="4" t="s">
        <v>154</v>
      </c>
      <c r="E96" s="4" t="n">
        <v>6</v>
      </c>
      <c r="F96" s="12" t="n">
        <v>8940</v>
      </c>
      <c r="G96" s="10" t="str">
        <f aca="false">IFERROR(INDEX(Mapping!$B$2:$B$100,MATCH(B96,Mapping!$A$2:$A$100,0)),"UNMATCHED")</f>
        <v>M02</v>
      </c>
    </row>
    <row r="97" customFormat="false" ht="15" hidden="false" customHeight="false" outlineLevel="0" collapsed="false">
      <c r="A97" s="4" t="s">
        <v>255</v>
      </c>
      <c r="B97" s="4" t="s">
        <v>51</v>
      </c>
      <c r="C97" s="4" t="s">
        <v>156</v>
      </c>
      <c r="D97" s="4" t="s">
        <v>168</v>
      </c>
      <c r="E97" s="4" t="n">
        <v>6</v>
      </c>
      <c r="F97" s="12" t="n">
        <v>13698</v>
      </c>
      <c r="G97" s="10" t="str">
        <f aca="false">IFERROR(INDEX(Mapping!$B$2:$B$100,MATCH(B97,Mapping!$A$2:$A$100,0)),"UNMATCHED")</f>
        <v>M02</v>
      </c>
    </row>
    <row r="98" customFormat="false" ht="15" hidden="false" customHeight="false" outlineLevel="0" collapsed="false">
      <c r="A98" s="4" t="s">
        <v>256</v>
      </c>
      <c r="B98" s="4" t="s">
        <v>55</v>
      </c>
      <c r="C98" s="4" t="s">
        <v>156</v>
      </c>
      <c r="D98" s="4" t="s">
        <v>168</v>
      </c>
      <c r="E98" s="4" t="n">
        <v>10</v>
      </c>
      <c r="F98" s="12" t="n">
        <v>20420</v>
      </c>
      <c r="G98" s="10" t="str">
        <f aca="false">IFERROR(INDEX(Mapping!$B$2:$B$100,MATCH(B98,Mapping!$A$2:$A$100,0)),"UNMATCHED")</f>
        <v>M02</v>
      </c>
    </row>
    <row r="99" customFormat="false" ht="15" hidden="false" customHeight="false" outlineLevel="0" collapsed="false">
      <c r="A99" s="4" t="s">
        <v>257</v>
      </c>
      <c r="B99" s="4" t="s">
        <v>55</v>
      </c>
      <c r="C99" s="4" t="s">
        <v>159</v>
      </c>
      <c r="D99" s="4" t="s">
        <v>165</v>
      </c>
      <c r="E99" s="4" t="n">
        <v>10</v>
      </c>
      <c r="F99" s="12" t="n">
        <v>20330</v>
      </c>
      <c r="G99" s="10" t="str">
        <f aca="false">IFERROR(INDEX(Mapping!$B$2:$B$100,MATCH(B99,Mapping!$A$2:$A$100,0)),"UNMATCHED")</f>
        <v>M02</v>
      </c>
    </row>
    <row r="100" customFormat="false" ht="15" hidden="false" customHeight="false" outlineLevel="0" collapsed="false">
      <c r="A100" s="4" t="s">
        <v>258</v>
      </c>
      <c r="B100" s="4" t="s">
        <v>55</v>
      </c>
      <c r="C100" s="4" t="s">
        <v>153</v>
      </c>
      <c r="D100" s="4" t="s">
        <v>151</v>
      </c>
      <c r="E100" s="4" t="n">
        <v>12</v>
      </c>
      <c r="F100" s="12" t="n">
        <v>24060</v>
      </c>
      <c r="G100" s="10" t="str">
        <f aca="false">IFERROR(INDEX(Mapping!$B$2:$B$100,MATCH(B100,Mapping!$A$2:$A$100,0)),"UNMATCHED")</f>
        <v>M02</v>
      </c>
    </row>
    <row r="101" customFormat="false" ht="15" hidden="false" customHeight="false" outlineLevel="0" collapsed="false">
      <c r="A101" s="4" t="s">
        <v>259</v>
      </c>
      <c r="B101" s="4" t="s">
        <v>51</v>
      </c>
      <c r="C101" s="4" t="s">
        <v>170</v>
      </c>
      <c r="D101" s="4" t="s">
        <v>175</v>
      </c>
      <c r="E101" s="4" t="n">
        <v>8</v>
      </c>
      <c r="F101" s="12" t="n">
        <v>17408</v>
      </c>
      <c r="G101" s="10" t="str">
        <f aca="false">IFERROR(INDEX(Mapping!$B$2:$B$100,MATCH(B101,Mapping!$A$2:$A$100,0)),"UNMATCHED")</f>
        <v>M02</v>
      </c>
    </row>
    <row r="102" customFormat="false" ht="15" hidden="false" customHeight="false" outlineLevel="0" collapsed="false">
      <c r="A102" s="4" t="s">
        <v>260</v>
      </c>
      <c r="B102" s="4" t="s">
        <v>55</v>
      </c>
      <c r="C102" s="4" t="s">
        <v>156</v>
      </c>
      <c r="D102" s="4" t="s">
        <v>165</v>
      </c>
      <c r="E102" s="4" t="n">
        <v>8</v>
      </c>
      <c r="F102" s="12" t="n">
        <v>20176</v>
      </c>
      <c r="G102" s="10" t="str">
        <f aca="false">IFERROR(INDEX(Mapping!$B$2:$B$100,MATCH(B102,Mapping!$A$2:$A$100,0)),"UNMATCHED")</f>
        <v>M02</v>
      </c>
    </row>
    <row r="103" customFormat="false" ht="15" hidden="false" customHeight="false" outlineLevel="0" collapsed="false">
      <c r="A103" s="4" t="s">
        <v>261</v>
      </c>
      <c r="B103" s="4" t="s">
        <v>55</v>
      </c>
      <c r="C103" s="4" t="s">
        <v>153</v>
      </c>
      <c r="D103" s="4" t="s">
        <v>175</v>
      </c>
      <c r="E103" s="4" t="n">
        <v>4</v>
      </c>
      <c r="F103" s="12" t="n">
        <v>9120</v>
      </c>
      <c r="G103" s="10" t="str">
        <f aca="false">IFERROR(INDEX(Mapping!$B$2:$B$100,MATCH(B103,Mapping!$A$2:$A$100,0)),"UNMATCHED")</f>
        <v>M02</v>
      </c>
    </row>
    <row r="104" customFormat="false" ht="15" hidden="false" customHeight="false" outlineLevel="0" collapsed="false">
      <c r="A104" s="4" t="s">
        <v>262</v>
      </c>
      <c r="B104" s="4" t="s">
        <v>55</v>
      </c>
      <c r="C104" s="4" t="s">
        <v>159</v>
      </c>
      <c r="D104" s="4" t="s">
        <v>168</v>
      </c>
      <c r="E104" s="4" t="n">
        <v>8</v>
      </c>
      <c r="F104" s="12" t="n">
        <v>18432</v>
      </c>
      <c r="G104" s="10" t="str">
        <f aca="false">IFERROR(INDEX(Mapping!$B$2:$B$100,MATCH(B104,Mapping!$A$2:$A$100,0)),"UNMATCHED")</f>
        <v>M02</v>
      </c>
    </row>
    <row r="105" customFormat="false" ht="15" hidden="false" customHeight="false" outlineLevel="0" collapsed="false">
      <c r="A105" s="4" t="s">
        <v>263</v>
      </c>
      <c r="B105" s="4" t="s">
        <v>51</v>
      </c>
      <c r="C105" s="4" t="s">
        <v>170</v>
      </c>
      <c r="D105" s="4" t="s">
        <v>168</v>
      </c>
      <c r="E105" s="4" t="n">
        <v>10</v>
      </c>
      <c r="F105" s="12" t="n">
        <v>23690</v>
      </c>
      <c r="G105" s="10" t="str">
        <f aca="false">IFERROR(INDEX(Mapping!$B$2:$B$100,MATCH(B105,Mapping!$A$2:$A$100,0)),"UNMATCHED")</f>
        <v>M02</v>
      </c>
    </row>
    <row r="106" customFormat="false" ht="15" hidden="false" customHeight="false" outlineLevel="0" collapsed="false">
      <c r="A106" s="4" t="s">
        <v>264</v>
      </c>
      <c r="B106" s="4" t="s">
        <v>51</v>
      </c>
      <c r="C106" s="4" t="s">
        <v>153</v>
      </c>
      <c r="D106" s="4" t="s">
        <v>165</v>
      </c>
      <c r="E106" s="4" t="n">
        <v>6</v>
      </c>
      <c r="F106" s="12" t="n">
        <v>14730</v>
      </c>
      <c r="G106" s="10" t="str">
        <f aca="false">IFERROR(INDEX(Mapping!$B$2:$B$100,MATCH(B106,Mapping!$A$2:$A$100,0)),"UNMATCHED")</f>
        <v>M02</v>
      </c>
    </row>
    <row r="107" customFormat="false" ht="15" hidden="false" customHeight="false" outlineLevel="0" collapsed="false">
      <c r="A107" s="4" t="s">
        <v>265</v>
      </c>
      <c r="B107" s="4" t="s">
        <v>58</v>
      </c>
      <c r="C107" s="4" t="s">
        <v>170</v>
      </c>
      <c r="D107" s="4" t="s">
        <v>151</v>
      </c>
      <c r="E107" s="4" t="n">
        <v>4</v>
      </c>
      <c r="F107" s="12" t="n">
        <v>8140</v>
      </c>
      <c r="G107" s="10" t="str">
        <f aca="false">IFERROR(INDEX(Mapping!$B$2:$B$100,MATCH(B107,Mapping!$A$2:$A$100,0)),"UNMATCHED")</f>
        <v>M03</v>
      </c>
    </row>
    <row r="108" customFormat="false" ht="15" hidden="false" customHeight="false" outlineLevel="0" collapsed="false">
      <c r="A108" s="4" t="s">
        <v>266</v>
      </c>
      <c r="B108" s="4" t="s">
        <v>58</v>
      </c>
      <c r="C108" s="4" t="s">
        <v>170</v>
      </c>
      <c r="D108" s="4" t="s">
        <v>163</v>
      </c>
      <c r="E108" s="4" t="n">
        <v>2</v>
      </c>
      <c r="F108" s="12" t="n">
        <v>2988</v>
      </c>
      <c r="G108" s="10" t="str">
        <f aca="false">IFERROR(INDEX(Mapping!$B$2:$B$100,MATCH(B108,Mapping!$A$2:$A$100,0)),"UNMATCHED")</f>
        <v>M03</v>
      </c>
    </row>
    <row r="109" customFormat="false" ht="15" hidden="false" customHeight="false" outlineLevel="0" collapsed="false">
      <c r="A109" s="4" t="s">
        <v>267</v>
      </c>
      <c r="B109" s="4" t="s">
        <v>58</v>
      </c>
      <c r="C109" s="4" t="s">
        <v>153</v>
      </c>
      <c r="D109" s="4" t="s">
        <v>151</v>
      </c>
      <c r="E109" s="4" t="n">
        <v>8</v>
      </c>
      <c r="F109" s="12" t="n">
        <v>17984</v>
      </c>
      <c r="G109" s="10" t="str">
        <f aca="false">IFERROR(INDEX(Mapping!$B$2:$B$100,MATCH(B109,Mapping!$A$2:$A$100,0)),"UNMATCHED")</f>
        <v>M03</v>
      </c>
    </row>
    <row r="110" customFormat="false" ht="15" hidden="false" customHeight="false" outlineLevel="0" collapsed="false">
      <c r="A110" s="4" t="s">
        <v>268</v>
      </c>
      <c r="B110" s="4" t="s">
        <v>62</v>
      </c>
      <c r="C110" s="4" t="s">
        <v>170</v>
      </c>
      <c r="D110" s="4" t="s">
        <v>151</v>
      </c>
      <c r="E110" s="4" t="n">
        <v>8</v>
      </c>
      <c r="F110" s="12" t="n">
        <v>17744</v>
      </c>
      <c r="G110" s="10" t="str">
        <f aca="false">IFERROR(INDEX(Mapping!$B$2:$B$100,MATCH(B110,Mapping!$A$2:$A$100,0)),"UNMATCHED")</f>
        <v>M03</v>
      </c>
    </row>
    <row r="111" customFormat="false" ht="15" hidden="false" customHeight="false" outlineLevel="0" collapsed="false">
      <c r="A111" s="4" t="s">
        <v>269</v>
      </c>
      <c r="B111" s="4" t="s">
        <v>58</v>
      </c>
      <c r="C111" s="4" t="s">
        <v>170</v>
      </c>
      <c r="D111" s="4" t="s">
        <v>151</v>
      </c>
      <c r="E111" s="4" t="n">
        <v>2</v>
      </c>
      <c r="F111" s="12" t="n">
        <v>4540</v>
      </c>
      <c r="G111" s="10" t="str">
        <f aca="false">IFERROR(INDEX(Mapping!$B$2:$B$100,MATCH(B111,Mapping!$A$2:$A$100,0)),"UNMATCHED")</f>
        <v>M03</v>
      </c>
    </row>
    <row r="112" customFormat="false" ht="15" hidden="false" customHeight="false" outlineLevel="0" collapsed="false">
      <c r="A112" s="4" t="s">
        <v>270</v>
      </c>
      <c r="B112" s="4" t="s">
        <v>62</v>
      </c>
      <c r="C112" s="4" t="s">
        <v>170</v>
      </c>
      <c r="D112" s="4" t="s">
        <v>154</v>
      </c>
      <c r="E112" s="4" t="n">
        <v>2</v>
      </c>
      <c r="F112" s="12" t="n">
        <v>5082</v>
      </c>
      <c r="G112" s="10" t="str">
        <f aca="false">IFERROR(INDEX(Mapping!$B$2:$B$100,MATCH(B112,Mapping!$A$2:$A$100,0)),"UNMATCHED")</f>
        <v>M03</v>
      </c>
    </row>
    <row r="113" customFormat="false" ht="15" hidden="false" customHeight="false" outlineLevel="0" collapsed="false">
      <c r="A113" s="4" t="s">
        <v>271</v>
      </c>
      <c r="B113" s="4" t="s">
        <v>62</v>
      </c>
      <c r="C113" s="4" t="s">
        <v>153</v>
      </c>
      <c r="D113" s="4" t="s">
        <v>175</v>
      </c>
      <c r="E113" s="4" t="n">
        <v>4</v>
      </c>
      <c r="F113" s="12" t="n">
        <v>9404</v>
      </c>
      <c r="G113" s="10" t="str">
        <f aca="false">IFERROR(INDEX(Mapping!$B$2:$B$100,MATCH(B113,Mapping!$A$2:$A$100,0)),"UNMATCHED")</f>
        <v>M03</v>
      </c>
    </row>
    <row r="114" customFormat="false" ht="15" hidden="false" customHeight="false" outlineLevel="0" collapsed="false">
      <c r="A114" s="4" t="s">
        <v>272</v>
      </c>
      <c r="B114" s="4" t="s">
        <v>62</v>
      </c>
      <c r="C114" s="4" t="s">
        <v>159</v>
      </c>
      <c r="D114" s="4" t="s">
        <v>175</v>
      </c>
      <c r="E114" s="4" t="n">
        <v>8</v>
      </c>
      <c r="F114" s="12" t="n">
        <v>19464</v>
      </c>
      <c r="G114" s="10" t="str">
        <f aca="false">IFERROR(INDEX(Mapping!$B$2:$B$100,MATCH(B114,Mapping!$A$2:$A$100,0)),"UNMATCHED")</f>
        <v>M03</v>
      </c>
    </row>
    <row r="115" customFormat="false" ht="15" hidden="false" customHeight="false" outlineLevel="0" collapsed="false">
      <c r="A115" s="4" t="s">
        <v>273</v>
      </c>
      <c r="B115" s="4" t="s">
        <v>62</v>
      </c>
      <c r="C115" s="4" t="s">
        <v>159</v>
      </c>
      <c r="D115" s="4" t="s">
        <v>165</v>
      </c>
      <c r="E115" s="4" t="n">
        <v>4</v>
      </c>
      <c r="F115" s="12" t="n">
        <v>9488</v>
      </c>
      <c r="G115" s="10" t="str">
        <f aca="false">IFERROR(INDEX(Mapping!$B$2:$B$100,MATCH(B115,Mapping!$A$2:$A$100,0)),"UNMATCHED")</f>
        <v>M03</v>
      </c>
    </row>
    <row r="116" customFormat="false" ht="15" hidden="false" customHeight="false" outlineLevel="0" collapsed="false">
      <c r="A116" s="4" t="s">
        <v>274</v>
      </c>
      <c r="B116" s="4" t="s">
        <v>58</v>
      </c>
      <c r="C116" s="4" t="s">
        <v>153</v>
      </c>
      <c r="D116" s="4" t="s">
        <v>163</v>
      </c>
      <c r="E116" s="4" t="n">
        <v>12</v>
      </c>
      <c r="F116" s="12" t="n">
        <v>23604</v>
      </c>
      <c r="G116" s="10" t="str">
        <f aca="false">IFERROR(INDEX(Mapping!$B$2:$B$100,MATCH(B116,Mapping!$A$2:$A$100,0)),"UNMATCHED")</f>
        <v>M03</v>
      </c>
    </row>
    <row r="117" customFormat="false" ht="15" hidden="false" customHeight="false" outlineLevel="0" collapsed="false">
      <c r="A117" s="4" t="s">
        <v>275</v>
      </c>
      <c r="B117" s="4" t="s">
        <v>58</v>
      </c>
      <c r="C117" s="4" t="s">
        <v>156</v>
      </c>
      <c r="D117" s="4" t="s">
        <v>168</v>
      </c>
      <c r="E117" s="4" t="n">
        <v>6</v>
      </c>
      <c r="F117" s="12" t="n">
        <v>13800</v>
      </c>
      <c r="G117" s="10" t="str">
        <f aca="false">IFERROR(INDEX(Mapping!$B$2:$B$100,MATCH(B117,Mapping!$A$2:$A$100,0)),"UNMATCHED")</f>
        <v>M03</v>
      </c>
    </row>
    <row r="118" customFormat="false" ht="15" hidden="false" customHeight="false" outlineLevel="0" collapsed="false">
      <c r="A118" s="4" t="s">
        <v>276</v>
      </c>
      <c r="B118" s="4" t="s">
        <v>62</v>
      </c>
      <c r="C118" s="4" t="s">
        <v>150</v>
      </c>
      <c r="D118" s="4" t="s">
        <v>165</v>
      </c>
      <c r="E118" s="4" t="n">
        <v>4</v>
      </c>
      <c r="F118" s="12" t="n">
        <v>7824</v>
      </c>
      <c r="G118" s="10" t="str">
        <f aca="false">IFERROR(INDEX(Mapping!$B$2:$B$100,MATCH(B118,Mapping!$A$2:$A$100,0)),"UNMATCHED")</f>
        <v>M03</v>
      </c>
    </row>
    <row r="119" customFormat="false" ht="15" hidden="false" customHeight="false" outlineLevel="0" collapsed="false">
      <c r="A119" s="4" t="s">
        <v>277</v>
      </c>
      <c r="B119" s="4" t="s">
        <v>58</v>
      </c>
      <c r="C119" s="4" t="s">
        <v>170</v>
      </c>
      <c r="D119" s="4" t="s">
        <v>163</v>
      </c>
      <c r="E119" s="4" t="n">
        <v>4</v>
      </c>
      <c r="F119" s="12" t="n">
        <v>6832</v>
      </c>
      <c r="G119" s="10" t="str">
        <f aca="false">IFERROR(INDEX(Mapping!$B$2:$B$100,MATCH(B119,Mapping!$A$2:$A$100,0)),"UNMATCHED")</f>
        <v>M03</v>
      </c>
    </row>
    <row r="120" customFormat="false" ht="15" hidden="false" customHeight="false" outlineLevel="0" collapsed="false">
      <c r="A120" s="4" t="s">
        <v>278</v>
      </c>
      <c r="B120" s="4" t="s">
        <v>58</v>
      </c>
      <c r="C120" s="4" t="s">
        <v>156</v>
      </c>
      <c r="D120" s="4" t="s">
        <v>163</v>
      </c>
      <c r="E120" s="4" t="n">
        <v>12</v>
      </c>
      <c r="F120" s="12" t="n">
        <v>22056</v>
      </c>
      <c r="G120" s="10" t="str">
        <f aca="false">IFERROR(INDEX(Mapping!$B$2:$B$100,MATCH(B120,Mapping!$A$2:$A$100,0)),"UNMATCHED")</f>
        <v>M03</v>
      </c>
    </row>
    <row r="121" customFormat="false" ht="15" hidden="false" customHeight="false" outlineLevel="0" collapsed="false">
      <c r="A121" s="4" t="s">
        <v>279</v>
      </c>
      <c r="B121" s="4" t="s">
        <v>62</v>
      </c>
      <c r="C121" s="4" t="s">
        <v>159</v>
      </c>
      <c r="D121" s="4" t="s">
        <v>163</v>
      </c>
      <c r="E121" s="4" t="n">
        <v>6</v>
      </c>
      <c r="F121" s="12" t="n">
        <v>15066</v>
      </c>
      <c r="G121" s="10" t="str">
        <f aca="false">IFERROR(INDEX(Mapping!$B$2:$B$100,MATCH(B121,Mapping!$A$2:$A$100,0)),"UNMATCHED")</f>
        <v>M03</v>
      </c>
    </row>
    <row r="122" customFormat="false" ht="15" hidden="false" customHeight="false" outlineLevel="0" collapsed="false">
      <c r="A122" s="4" t="s">
        <v>280</v>
      </c>
      <c r="B122" s="4" t="s">
        <v>58</v>
      </c>
      <c r="C122" s="4" t="s">
        <v>159</v>
      </c>
      <c r="D122" s="4" t="s">
        <v>175</v>
      </c>
      <c r="E122" s="4" t="n">
        <v>4</v>
      </c>
      <c r="F122" s="12" t="n">
        <v>9040</v>
      </c>
      <c r="G122" s="10" t="str">
        <f aca="false">IFERROR(INDEX(Mapping!$B$2:$B$100,MATCH(B122,Mapping!$A$2:$A$100,0)),"UNMATCHED")</f>
        <v>M03</v>
      </c>
    </row>
    <row r="123" customFormat="false" ht="15" hidden="false" customHeight="false" outlineLevel="0" collapsed="false">
      <c r="A123" s="4" t="s">
        <v>281</v>
      </c>
      <c r="B123" s="4" t="s">
        <v>58</v>
      </c>
      <c r="C123" s="4" t="s">
        <v>159</v>
      </c>
      <c r="D123" s="4" t="s">
        <v>154</v>
      </c>
      <c r="E123" s="4" t="n">
        <v>10</v>
      </c>
      <c r="F123" s="12" t="n">
        <v>21790</v>
      </c>
      <c r="G123" s="10" t="str">
        <f aca="false">IFERROR(INDEX(Mapping!$B$2:$B$100,MATCH(B123,Mapping!$A$2:$A$100,0)),"UNMATCHED")</f>
        <v>M03</v>
      </c>
    </row>
    <row r="124" customFormat="false" ht="15" hidden="false" customHeight="false" outlineLevel="0" collapsed="false">
      <c r="A124" s="4" t="s">
        <v>282</v>
      </c>
      <c r="B124" s="4" t="s">
        <v>62</v>
      </c>
      <c r="C124" s="4" t="s">
        <v>159</v>
      </c>
      <c r="D124" s="4" t="s">
        <v>175</v>
      </c>
      <c r="E124" s="4" t="n">
        <v>6</v>
      </c>
      <c r="F124" s="12" t="n">
        <v>13188</v>
      </c>
      <c r="G124" s="10" t="str">
        <f aca="false">IFERROR(INDEX(Mapping!$B$2:$B$100,MATCH(B124,Mapping!$A$2:$A$100,0)),"UNMATCHED")</f>
        <v>M03</v>
      </c>
    </row>
    <row r="125" customFormat="false" ht="15" hidden="false" customHeight="false" outlineLevel="0" collapsed="false">
      <c r="A125" s="4" t="s">
        <v>283</v>
      </c>
      <c r="B125" s="4" t="s">
        <v>58</v>
      </c>
      <c r="C125" s="4" t="s">
        <v>150</v>
      </c>
      <c r="D125" s="4" t="s">
        <v>163</v>
      </c>
      <c r="E125" s="4" t="n">
        <v>8</v>
      </c>
      <c r="F125" s="12" t="n">
        <v>14792</v>
      </c>
      <c r="G125" s="10" t="str">
        <f aca="false">IFERROR(INDEX(Mapping!$B$2:$B$100,MATCH(B125,Mapping!$A$2:$A$100,0)),"UNMATCHED")</f>
        <v>M03</v>
      </c>
    </row>
    <row r="126" customFormat="false" ht="15" hidden="false" customHeight="false" outlineLevel="0" collapsed="false">
      <c r="A126" s="4" t="s">
        <v>284</v>
      </c>
      <c r="B126" s="4" t="s">
        <v>62</v>
      </c>
      <c r="C126" s="4" t="s">
        <v>150</v>
      </c>
      <c r="D126" s="4" t="s">
        <v>168</v>
      </c>
      <c r="E126" s="4" t="n">
        <v>2</v>
      </c>
      <c r="F126" s="12" t="n">
        <v>4392</v>
      </c>
      <c r="G126" s="10" t="str">
        <f aca="false">IFERROR(INDEX(Mapping!$B$2:$B$100,MATCH(B126,Mapping!$A$2:$A$100,0)),"UNMATCHED")</f>
        <v>M03</v>
      </c>
    </row>
    <row r="127" customFormat="false" ht="15" hidden="false" customHeight="false" outlineLevel="0" collapsed="false">
      <c r="A127" s="4" t="s">
        <v>285</v>
      </c>
      <c r="B127" s="4" t="s">
        <v>62</v>
      </c>
      <c r="C127" s="4" t="s">
        <v>159</v>
      </c>
      <c r="D127" s="4" t="s">
        <v>151</v>
      </c>
      <c r="E127" s="4" t="n">
        <v>12</v>
      </c>
      <c r="F127" s="12" t="n">
        <v>20856</v>
      </c>
      <c r="G127" s="10" t="str">
        <f aca="false">IFERROR(INDEX(Mapping!$B$2:$B$100,MATCH(B127,Mapping!$A$2:$A$100,0)),"UNMATCHED")</f>
        <v>M03</v>
      </c>
    </row>
    <row r="128" customFormat="false" ht="15" hidden="false" customHeight="false" outlineLevel="0" collapsed="false">
      <c r="A128" s="4" t="s">
        <v>286</v>
      </c>
      <c r="B128" s="4" t="s">
        <v>58</v>
      </c>
      <c r="C128" s="4" t="s">
        <v>156</v>
      </c>
      <c r="D128" s="4" t="s">
        <v>154</v>
      </c>
      <c r="E128" s="4" t="n">
        <v>8</v>
      </c>
      <c r="F128" s="12" t="n">
        <v>20440</v>
      </c>
      <c r="G128" s="10" t="str">
        <f aca="false">IFERROR(INDEX(Mapping!$B$2:$B$100,MATCH(B128,Mapping!$A$2:$A$100,0)),"UNMATCHED")</f>
        <v>M03</v>
      </c>
    </row>
    <row r="129" customFormat="false" ht="15" hidden="false" customHeight="false" outlineLevel="0" collapsed="false">
      <c r="A129" s="4" t="s">
        <v>287</v>
      </c>
      <c r="B129" s="4" t="s">
        <v>62</v>
      </c>
      <c r="C129" s="4" t="s">
        <v>170</v>
      </c>
      <c r="D129" s="4" t="s">
        <v>154</v>
      </c>
      <c r="E129" s="4" t="n">
        <v>4</v>
      </c>
      <c r="F129" s="12" t="n">
        <v>9380</v>
      </c>
      <c r="G129" s="10" t="str">
        <f aca="false">IFERROR(INDEX(Mapping!$B$2:$B$100,MATCH(B129,Mapping!$A$2:$A$100,0)),"UNMATCHED")</f>
        <v>M03</v>
      </c>
    </row>
    <row r="130" customFormat="false" ht="15" hidden="false" customHeight="false" outlineLevel="0" collapsed="false">
      <c r="A130" s="4" t="s">
        <v>288</v>
      </c>
      <c r="B130" s="4" t="s">
        <v>62</v>
      </c>
      <c r="C130" s="4" t="s">
        <v>170</v>
      </c>
      <c r="D130" s="4" t="s">
        <v>163</v>
      </c>
      <c r="E130" s="4" t="n">
        <v>8</v>
      </c>
      <c r="F130" s="12" t="n">
        <v>16560</v>
      </c>
      <c r="G130" s="10" t="str">
        <f aca="false">IFERROR(INDEX(Mapping!$B$2:$B$100,MATCH(B130,Mapping!$A$2:$A$100,0)),"UNMATCHED")</f>
        <v>M03</v>
      </c>
    </row>
    <row r="131" customFormat="false" ht="15" hidden="false" customHeight="false" outlineLevel="0" collapsed="false">
      <c r="A131" s="4" t="s">
        <v>289</v>
      </c>
      <c r="B131" s="4" t="s">
        <v>62</v>
      </c>
      <c r="C131" s="4" t="s">
        <v>150</v>
      </c>
      <c r="D131" s="4" t="s">
        <v>163</v>
      </c>
      <c r="E131" s="4" t="n">
        <v>6</v>
      </c>
      <c r="F131" s="12" t="n">
        <v>13056</v>
      </c>
      <c r="G131" s="10" t="str">
        <f aca="false">IFERROR(INDEX(Mapping!$B$2:$B$100,MATCH(B131,Mapping!$A$2:$A$100,0)),"UNMATCHED")</f>
        <v>M03</v>
      </c>
    </row>
    <row r="132" customFormat="false" ht="15" hidden="false" customHeight="false" outlineLevel="0" collapsed="false">
      <c r="A132" s="4" t="s">
        <v>290</v>
      </c>
      <c r="B132" s="4" t="s">
        <v>62</v>
      </c>
      <c r="C132" s="4" t="s">
        <v>156</v>
      </c>
      <c r="D132" s="4" t="s">
        <v>168</v>
      </c>
      <c r="E132" s="4" t="n">
        <v>2</v>
      </c>
      <c r="F132" s="12" t="n">
        <v>4726</v>
      </c>
      <c r="G132" s="10" t="str">
        <f aca="false">IFERROR(INDEX(Mapping!$B$2:$B$100,MATCH(B132,Mapping!$A$2:$A$100,0)),"UNMATCHED")</f>
        <v>M03</v>
      </c>
    </row>
    <row r="133" customFormat="false" ht="15" hidden="false" customHeight="false" outlineLevel="0" collapsed="false">
      <c r="A133" s="4" t="s">
        <v>291</v>
      </c>
      <c r="B133" s="4" t="s">
        <v>58</v>
      </c>
      <c r="C133" s="4" t="s">
        <v>156</v>
      </c>
      <c r="D133" s="4" t="s">
        <v>168</v>
      </c>
      <c r="E133" s="4" t="n">
        <v>6</v>
      </c>
      <c r="F133" s="12" t="n">
        <v>11154</v>
      </c>
      <c r="G133" s="10" t="str">
        <f aca="false">IFERROR(INDEX(Mapping!$B$2:$B$100,MATCH(B133,Mapping!$A$2:$A$100,0)),"UNMATCHED")</f>
        <v>M03</v>
      </c>
    </row>
    <row r="134" customFormat="false" ht="15" hidden="false" customHeight="false" outlineLevel="0" collapsed="false">
      <c r="A134" s="4" t="s">
        <v>292</v>
      </c>
      <c r="B134" s="4" t="s">
        <v>58</v>
      </c>
      <c r="C134" s="4" t="s">
        <v>170</v>
      </c>
      <c r="D134" s="4" t="s">
        <v>154</v>
      </c>
      <c r="E134" s="4" t="n">
        <v>2</v>
      </c>
      <c r="F134" s="12" t="n">
        <v>3812</v>
      </c>
      <c r="G134" s="10" t="str">
        <f aca="false">IFERROR(INDEX(Mapping!$B$2:$B$100,MATCH(B134,Mapping!$A$2:$A$100,0)),"UNMATCHED")</f>
        <v>M03</v>
      </c>
    </row>
    <row r="135" customFormat="false" ht="15" hidden="false" customHeight="false" outlineLevel="0" collapsed="false">
      <c r="A135" s="4" t="s">
        <v>293</v>
      </c>
      <c r="B135" s="4" t="s">
        <v>58</v>
      </c>
      <c r="C135" s="4" t="s">
        <v>159</v>
      </c>
      <c r="D135" s="4" t="s">
        <v>168</v>
      </c>
      <c r="E135" s="4" t="n">
        <v>4</v>
      </c>
      <c r="F135" s="12" t="n">
        <v>6632</v>
      </c>
      <c r="G135" s="10" t="str">
        <f aca="false">IFERROR(INDEX(Mapping!$B$2:$B$100,MATCH(B135,Mapping!$A$2:$A$100,0)),"UNMATCHED")</f>
        <v>M03</v>
      </c>
    </row>
    <row r="136" customFormat="false" ht="15" hidden="false" customHeight="false" outlineLevel="0" collapsed="false">
      <c r="A136" s="4" t="s">
        <v>294</v>
      </c>
      <c r="B136" s="4" t="s">
        <v>58</v>
      </c>
      <c r="C136" s="4" t="s">
        <v>159</v>
      </c>
      <c r="D136" s="4" t="s">
        <v>168</v>
      </c>
      <c r="E136" s="4" t="n">
        <v>10</v>
      </c>
      <c r="F136" s="12" t="n">
        <v>18460</v>
      </c>
      <c r="G136" s="10" t="str">
        <f aca="false">IFERROR(INDEX(Mapping!$B$2:$B$100,MATCH(B136,Mapping!$A$2:$A$100,0)),"UNMATCHED")</f>
        <v>M03</v>
      </c>
    </row>
    <row r="137" customFormat="false" ht="15" hidden="false" customHeight="false" outlineLevel="0" collapsed="false">
      <c r="A137" s="4" t="s">
        <v>295</v>
      </c>
      <c r="B137" s="4" t="s">
        <v>62</v>
      </c>
      <c r="C137" s="4" t="s">
        <v>153</v>
      </c>
      <c r="D137" s="4" t="s">
        <v>175</v>
      </c>
      <c r="E137" s="4" t="n">
        <v>6</v>
      </c>
      <c r="F137" s="12" t="n">
        <v>10458</v>
      </c>
      <c r="G137" s="10" t="str">
        <f aca="false">IFERROR(INDEX(Mapping!$B$2:$B$100,MATCH(B137,Mapping!$A$2:$A$100,0)),"UNMATCHED")</f>
        <v>M03</v>
      </c>
    </row>
    <row r="138" customFormat="false" ht="15" hidden="false" customHeight="false" outlineLevel="0" collapsed="false">
      <c r="A138" s="4" t="s">
        <v>296</v>
      </c>
      <c r="B138" s="4" t="s">
        <v>58</v>
      </c>
      <c r="C138" s="4" t="s">
        <v>156</v>
      </c>
      <c r="D138" s="4" t="s">
        <v>175</v>
      </c>
      <c r="E138" s="4" t="n">
        <v>4</v>
      </c>
      <c r="F138" s="12" t="n">
        <v>8148</v>
      </c>
      <c r="G138" s="10" t="str">
        <f aca="false">IFERROR(INDEX(Mapping!$B$2:$B$100,MATCH(B138,Mapping!$A$2:$A$100,0)),"UNMATCHED")</f>
        <v>M03</v>
      </c>
    </row>
    <row r="139" customFormat="false" ht="15" hidden="false" customHeight="false" outlineLevel="0" collapsed="false">
      <c r="A139" s="4" t="s">
        <v>297</v>
      </c>
      <c r="B139" s="4" t="s">
        <v>58</v>
      </c>
      <c r="C139" s="4" t="s">
        <v>159</v>
      </c>
      <c r="D139" s="4" t="s">
        <v>163</v>
      </c>
      <c r="E139" s="4" t="n">
        <v>6</v>
      </c>
      <c r="F139" s="12" t="n">
        <v>15474</v>
      </c>
      <c r="G139" s="10" t="str">
        <f aca="false">IFERROR(INDEX(Mapping!$B$2:$B$100,MATCH(B139,Mapping!$A$2:$A$100,0)),"UNMATCHED")</f>
        <v>M03</v>
      </c>
    </row>
    <row r="140" customFormat="false" ht="15" hidden="false" customHeight="false" outlineLevel="0" collapsed="false">
      <c r="A140" s="4" t="s">
        <v>298</v>
      </c>
      <c r="B140" s="4" t="s">
        <v>58</v>
      </c>
      <c r="C140" s="4" t="s">
        <v>156</v>
      </c>
      <c r="D140" s="4" t="s">
        <v>168</v>
      </c>
      <c r="E140" s="4" t="n">
        <v>2</v>
      </c>
      <c r="F140" s="12" t="n">
        <v>3794</v>
      </c>
      <c r="G140" s="10" t="str">
        <f aca="false">IFERROR(INDEX(Mapping!$B$2:$B$100,MATCH(B140,Mapping!$A$2:$A$100,0)),"UNMATCHED")</f>
        <v>M03</v>
      </c>
    </row>
    <row r="141" customFormat="false" ht="15" hidden="false" customHeight="false" outlineLevel="0" collapsed="false">
      <c r="A141" s="4" t="s">
        <v>299</v>
      </c>
      <c r="B141" s="4" t="s">
        <v>62</v>
      </c>
      <c r="C141" s="4" t="s">
        <v>153</v>
      </c>
      <c r="D141" s="4" t="s">
        <v>154</v>
      </c>
      <c r="E141" s="4" t="n">
        <v>12</v>
      </c>
      <c r="F141" s="12" t="n">
        <v>19764</v>
      </c>
      <c r="G141" s="10" t="str">
        <f aca="false">IFERROR(INDEX(Mapping!$B$2:$B$100,MATCH(B141,Mapping!$A$2:$A$100,0)),"UNMATCHED")</f>
        <v>M03</v>
      </c>
    </row>
    <row r="142" customFormat="false" ht="15" hidden="false" customHeight="false" outlineLevel="0" collapsed="false">
      <c r="A142" s="4" t="s">
        <v>300</v>
      </c>
      <c r="B142" s="4" t="s">
        <v>62</v>
      </c>
      <c r="C142" s="4" t="s">
        <v>150</v>
      </c>
      <c r="D142" s="4" t="s">
        <v>154</v>
      </c>
      <c r="E142" s="4" t="n">
        <v>10</v>
      </c>
      <c r="F142" s="12" t="n">
        <v>22770</v>
      </c>
      <c r="G142" s="10" t="str">
        <f aca="false">IFERROR(INDEX(Mapping!$B$2:$B$100,MATCH(B142,Mapping!$A$2:$A$100,0)),"UNMATCHED")</f>
        <v>M03</v>
      </c>
    </row>
    <row r="143" customFormat="false" ht="15" hidden="false" customHeight="false" outlineLevel="0" collapsed="false">
      <c r="A143" s="4" t="s">
        <v>301</v>
      </c>
      <c r="B143" s="4" t="s">
        <v>62</v>
      </c>
      <c r="C143" s="4" t="s">
        <v>159</v>
      </c>
      <c r="D143" s="4" t="s">
        <v>154</v>
      </c>
      <c r="E143" s="4" t="n">
        <v>2</v>
      </c>
      <c r="F143" s="12" t="n">
        <v>4520</v>
      </c>
      <c r="G143" s="10" t="str">
        <f aca="false">IFERROR(INDEX(Mapping!$B$2:$B$100,MATCH(B143,Mapping!$A$2:$A$100,0)),"UNMATCHED")</f>
        <v>M03</v>
      </c>
    </row>
    <row r="144" customFormat="false" ht="15" hidden="false" customHeight="false" outlineLevel="0" collapsed="false">
      <c r="A144" s="4" t="s">
        <v>302</v>
      </c>
      <c r="B144" s="4" t="s">
        <v>68</v>
      </c>
      <c r="C144" s="4" t="s">
        <v>170</v>
      </c>
      <c r="D144" s="4" t="s">
        <v>163</v>
      </c>
      <c r="E144" s="4" t="n">
        <v>6</v>
      </c>
      <c r="F144" s="12" t="n">
        <v>14046</v>
      </c>
      <c r="G144" s="10" t="str">
        <f aca="false">IFERROR(INDEX(Mapping!$B$2:$B$100,MATCH(B144,Mapping!$A$2:$A$100,0)),"UNMATCHED")</f>
        <v>M04</v>
      </c>
    </row>
    <row r="145" customFormat="false" ht="15" hidden="false" customHeight="false" outlineLevel="0" collapsed="false">
      <c r="A145" s="4" t="s">
        <v>303</v>
      </c>
      <c r="B145" s="4" t="s">
        <v>64</v>
      </c>
      <c r="C145" s="4" t="s">
        <v>150</v>
      </c>
      <c r="D145" s="4" t="s">
        <v>175</v>
      </c>
      <c r="E145" s="4" t="n">
        <v>12</v>
      </c>
      <c r="F145" s="12" t="n">
        <v>29616</v>
      </c>
      <c r="G145" s="10" t="str">
        <f aca="false">IFERROR(INDEX(Mapping!$B$2:$B$100,MATCH(B145,Mapping!$A$2:$A$100,0)),"UNMATCHED")</f>
        <v>M04</v>
      </c>
    </row>
    <row r="146" customFormat="false" ht="15" hidden="false" customHeight="false" outlineLevel="0" collapsed="false">
      <c r="A146" s="4" t="s">
        <v>304</v>
      </c>
      <c r="B146" s="4" t="s">
        <v>68</v>
      </c>
      <c r="C146" s="4" t="s">
        <v>153</v>
      </c>
      <c r="D146" s="4" t="s">
        <v>165</v>
      </c>
      <c r="E146" s="4" t="n">
        <v>8</v>
      </c>
      <c r="F146" s="12" t="n">
        <v>18336</v>
      </c>
      <c r="G146" s="10" t="str">
        <f aca="false">IFERROR(INDEX(Mapping!$B$2:$B$100,MATCH(B146,Mapping!$A$2:$A$100,0)),"UNMATCHED")</f>
        <v>M04</v>
      </c>
    </row>
    <row r="147" customFormat="false" ht="15" hidden="false" customHeight="false" outlineLevel="0" collapsed="false">
      <c r="A147" s="4" t="s">
        <v>305</v>
      </c>
      <c r="B147" s="4" t="s">
        <v>68</v>
      </c>
      <c r="C147" s="4" t="s">
        <v>150</v>
      </c>
      <c r="D147" s="4" t="s">
        <v>163</v>
      </c>
      <c r="E147" s="4" t="n">
        <v>4</v>
      </c>
      <c r="F147" s="12" t="n">
        <v>6308</v>
      </c>
      <c r="G147" s="10" t="str">
        <f aca="false">IFERROR(INDEX(Mapping!$B$2:$B$100,MATCH(B147,Mapping!$A$2:$A$100,0)),"UNMATCHED")</f>
        <v>M04</v>
      </c>
    </row>
    <row r="148" customFormat="false" ht="15" hidden="false" customHeight="false" outlineLevel="0" collapsed="false">
      <c r="A148" s="4" t="s">
        <v>306</v>
      </c>
      <c r="B148" s="4" t="s">
        <v>64</v>
      </c>
      <c r="C148" s="4" t="s">
        <v>153</v>
      </c>
      <c r="D148" s="4" t="s">
        <v>168</v>
      </c>
      <c r="E148" s="4" t="n">
        <v>8</v>
      </c>
      <c r="F148" s="12" t="n">
        <v>20536</v>
      </c>
      <c r="G148" s="10" t="str">
        <f aca="false">IFERROR(INDEX(Mapping!$B$2:$B$100,MATCH(B148,Mapping!$A$2:$A$100,0)),"UNMATCHED")</f>
        <v>M04</v>
      </c>
    </row>
    <row r="149" customFormat="false" ht="15" hidden="false" customHeight="false" outlineLevel="0" collapsed="false">
      <c r="A149" s="4" t="s">
        <v>307</v>
      </c>
      <c r="B149" s="4" t="s">
        <v>68</v>
      </c>
      <c r="C149" s="4" t="s">
        <v>159</v>
      </c>
      <c r="D149" s="4" t="s">
        <v>165</v>
      </c>
      <c r="E149" s="4" t="n">
        <v>6</v>
      </c>
      <c r="F149" s="12" t="n">
        <v>8748</v>
      </c>
      <c r="G149" s="10" t="str">
        <f aca="false">IFERROR(INDEX(Mapping!$B$2:$B$100,MATCH(B149,Mapping!$A$2:$A$100,0)),"UNMATCHED")</f>
        <v>M04</v>
      </c>
    </row>
    <row r="150" customFormat="false" ht="15" hidden="false" customHeight="false" outlineLevel="0" collapsed="false">
      <c r="A150" s="4" t="s">
        <v>308</v>
      </c>
      <c r="B150" s="4" t="s">
        <v>64</v>
      </c>
      <c r="C150" s="4" t="s">
        <v>150</v>
      </c>
      <c r="D150" s="4" t="s">
        <v>165</v>
      </c>
      <c r="E150" s="4" t="n">
        <v>8</v>
      </c>
      <c r="F150" s="12" t="n">
        <v>14672</v>
      </c>
      <c r="G150" s="10" t="str">
        <f aca="false">IFERROR(INDEX(Mapping!$B$2:$B$100,MATCH(B150,Mapping!$A$2:$A$100,0)),"UNMATCHED")</f>
        <v>M04</v>
      </c>
    </row>
    <row r="151" customFormat="false" ht="15" hidden="false" customHeight="false" outlineLevel="0" collapsed="false">
      <c r="A151" s="4" t="s">
        <v>309</v>
      </c>
      <c r="B151" s="4" t="s">
        <v>68</v>
      </c>
      <c r="C151" s="4" t="s">
        <v>153</v>
      </c>
      <c r="D151" s="4" t="s">
        <v>154</v>
      </c>
      <c r="E151" s="4" t="n">
        <v>6</v>
      </c>
      <c r="F151" s="12" t="n">
        <v>11790</v>
      </c>
      <c r="G151" s="10" t="str">
        <f aca="false">IFERROR(INDEX(Mapping!$B$2:$B$100,MATCH(B151,Mapping!$A$2:$A$100,0)),"UNMATCHED")</f>
        <v>M04</v>
      </c>
    </row>
    <row r="152" customFormat="false" ht="15" hidden="false" customHeight="false" outlineLevel="0" collapsed="false">
      <c r="A152" s="4" t="s">
        <v>310</v>
      </c>
      <c r="B152" s="4" t="s">
        <v>64</v>
      </c>
      <c r="C152" s="4" t="s">
        <v>159</v>
      </c>
      <c r="D152" s="4" t="s">
        <v>163</v>
      </c>
      <c r="E152" s="4" t="n">
        <v>2</v>
      </c>
      <c r="F152" s="12" t="n">
        <v>3788</v>
      </c>
      <c r="G152" s="10" t="str">
        <f aca="false">IFERROR(INDEX(Mapping!$B$2:$B$100,MATCH(B152,Mapping!$A$2:$A$100,0)),"UNMATCHED")</f>
        <v>M04</v>
      </c>
    </row>
    <row r="153" customFormat="false" ht="15" hidden="false" customHeight="false" outlineLevel="0" collapsed="false">
      <c r="A153" s="4" t="s">
        <v>311</v>
      </c>
      <c r="B153" s="4" t="s">
        <v>64</v>
      </c>
      <c r="C153" s="4" t="s">
        <v>159</v>
      </c>
      <c r="D153" s="4" t="s">
        <v>163</v>
      </c>
      <c r="E153" s="4" t="n">
        <v>12</v>
      </c>
      <c r="F153" s="12" t="n">
        <v>28500</v>
      </c>
      <c r="G153" s="10" t="str">
        <f aca="false">IFERROR(INDEX(Mapping!$B$2:$B$100,MATCH(B153,Mapping!$A$2:$A$100,0)),"UNMATCHED")</f>
        <v>M04</v>
      </c>
    </row>
    <row r="154" customFormat="false" ht="15" hidden="false" customHeight="false" outlineLevel="0" collapsed="false">
      <c r="A154" s="4" t="s">
        <v>312</v>
      </c>
      <c r="B154" s="4" t="s">
        <v>64</v>
      </c>
      <c r="C154" s="4" t="s">
        <v>170</v>
      </c>
      <c r="D154" s="4" t="s">
        <v>163</v>
      </c>
      <c r="E154" s="4" t="n">
        <v>2</v>
      </c>
      <c r="F154" s="12" t="n">
        <v>4004</v>
      </c>
      <c r="G154" s="10" t="str">
        <f aca="false">IFERROR(INDEX(Mapping!$B$2:$B$100,MATCH(B154,Mapping!$A$2:$A$100,0)),"UNMATCHED")</f>
        <v>M04</v>
      </c>
    </row>
    <row r="155" customFormat="false" ht="15" hidden="false" customHeight="false" outlineLevel="0" collapsed="false">
      <c r="A155" s="4" t="s">
        <v>313</v>
      </c>
      <c r="B155" s="4" t="s">
        <v>64</v>
      </c>
      <c r="C155" s="4" t="s">
        <v>150</v>
      </c>
      <c r="D155" s="4" t="s">
        <v>163</v>
      </c>
      <c r="E155" s="4" t="n">
        <v>6</v>
      </c>
      <c r="F155" s="12" t="n">
        <v>15546</v>
      </c>
      <c r="G155" s="10" t="str">
        <f aca="false">IFERROR(INDEX(Mapping!$B$2:$B$100,MATCH(B155,Mapping!$A$2:$A$100,0)),"UNMATCHED")</f>
        <v>M04</v>
      </c>
    </row>
    <row r="156" customFormat="false" ht="15" hidden="false" customHeight="false" outlineLevel="0" collapsed="false">
      <c r="A156" s="4" t="s">
        <v>314</v>
      </c>
      <c r="B156" s="4" t="s">
        <v>68</v>
      </c>
      <c r="C156" s="4" t="s">
        <v>150</v>
      </c>
      <c r="D156" s="4" t="s">
        <v>165</v>
      </c>
      <c r="E156" s="4" t="n">
        <v>8</v>
      </c>
      <c r="F156" s="12" t="n">
        <v>20216</v>
      </c>
      <c r="G156" s="10" t="str">
        <f aca="false">IFERROR(INDEX(Mapping!$B$2:$B$100,MATCH(B156,Mapping!$A$2:$A$100,0)),"UNMATCHED")</f>
        <v>M04</v>
      </c>
    </row>
    <row r="157" customFormat="false" ht="15" hidden="false" customHeight="false" outlineLevel="0" collapsed="false">
      <c r="A157" s="4" t="s">
        <v>315</v>
      </c>
      <c r="B157" s="4" t="s">
        <v>68</v>
      </c>
      <c r="C157" s="4" t="s">
        <v>150</v>
      </c>
      <c r="D157" s="4" t="s">
        <v>151</v>
      </c>
      <c r="E157" s="4" t="n">
        <v>6</v>
      </c>
      <c r="F157" s="12" t="n">
        <v>12162</v>
      </c>
      <c r="G157" s="10" t="str">
        <f aca="false">IFERROR(INDEX(Mapping!$B$2:$B$100,MATCH(B157,Mapping!$A$2:$A$100,0)),"UNMATCHED")</f>
        <v>M04</v>
      </c>
    </row>
    <row r="158" customFormat="false" ht="15" hidden="false" customHeight="false" outlineLevel="0" collapsed="false">
      <c r="A158" s="4" t="s">
        <v>316</v>
      </c>
      <c r="B158" s="4" t="s">
        <v>64</v>
      </c>
      <c r="C158" s="4" t="s">
        <v>150</v>
      </c>
      <c r="D158" s="4" t="s">
        <v>154</v>
      </c>
      <c r="E158" s="4" t="n">
        <v>12</v>
      </c>
      <c r="F158" s="12" t="n">
        <v>21528</v>
      </c>
      <c r="G158" s="10" t="str">
        <f aca="false">IFERROR(INDEX(Mapping!$B$2:$B$100,MATCH(B158,Mapping!$A$2:$A$100,0)),"UNMATCHED")</f>
        <v>M04</v>
      </c>
    </row>
    <row r="159" customFormat="false" ht="15" hidden="false" customHeight="false" outlineLevel="0" collapsed="false">
      <c r="A159" s="4" t="s">
        <v>317</v>
      </c>
      <c r="B159" s="4" t="s">
        <v>64</v>
      </c>
      <c r="C159" s="4" t="s">
        <v>159</v>
      </c>
      <c r="D159" s="4" t="s">
        <v>165</v>
      </c>
      <c r="E159" s="4" t="n">
        <v>4</v>
      </c>
      <c r="F159" s="12" t="n">
        <v>7372</v>
      </c>
      <c r="G159" s="10" t="str">
        <f aca="false">IFERROR(INDEX(Mapping!$B$2:$B$100,MATCH(B159,Mapping!$A$2:$A$100,0)),"UNMATCHED")</f>
        <v>M04</v>
      </c>
    </row>
    <row r="160" customFormat="false" ht="15" hidden="false" customHeight="false" outlineLevel="0" collapsed="false">
      <c r="A160" s="4" t="s">
        <v>318</v>
      </c>
      <c r="B160" s="4" t="s">
        <v>68</v>
      </c>
      <c r="C160" s="4" t="s">
        <v>150</v>
      </c>
      <c r="D160" s="4" t="s">
        <v>151</v>
      </c>
      <c r="E160" s="4" t="n">
        <v>2</v>
      </c>
      <c r="F160" s="12" t="n">
        <v>3594</v>
      </c>
      <c r="G160" s="10" t="str">
        <f aca="false">IFERROR(INDEX(Mapping!$B$2:$B$100,MATCH(B160,Mapping!$A$2:$A$100,0)),"UNMATCHED")</f>
        <v>M04</v>
      </c>
    </row>
    <row r="161" customFormat="false" ht="15" hidden="false" customHeight="false" outlineLevel="0" collapsed="false">
      <c r="A161" s="4" t="s">
        <v>319</v>
      </c>
      <c r="B161" s="4" t="s">
        <v>68</v>
      </c>
      <c r="C161" s="4" t="s">
        <v>156</v>
      </c>
      <c r="D161" s="4" t="s">
        <v>168</v>
      </c>
      <c r="E161" s="4" t="n">
        <v>4</v>
      </c>
      <c r="F161" s="12" t="n">
        <v>8076</v>
      </c>
      <c r="G161" s="10" t="str">
        <f aca="false">IFERROR(INDEX(Mapping!$B$2:$B$100,MATCH(B161,Mapping!$A$2:$A$100,0)),"UNMATCHED")</f>
        <v>M04</v>
      </c>
    </row>
    <row r="162" customFormat="false" ht="15" hidden="false" customHeight="false" outlineLevel="0" collapsed="false">
      <c r="A162" s="4" t="s">
        <v>320</v>
      </c>
      <c r="B162" s="4" t="s">
        <v>64</v>
      </c>
      <c r="C162" s="4" t="s">
        <v>156</v>
      </c>
      <c r="D162" s="4" t="s">
        <v>175</v>
      </c>
      <c r="E162" s="4" t="n">
        <v>6</v>
      </c>
      <c r="F162" s="12" t="n">
        <v>8958</v>
      </c>
      <c r="G162" s="10" t="str">
        <f aca="false">IFERROR(INDEX(Mapping!$B$2:$B$100,MATCH(B162,Mapping!$A$2:$A$100,0)),"UNMATCHED")</f>
        <v>M04</v>
      </c>
    </row>
    <row r="163" customFormat="false" ht="15" hidden="false" customHeight="false" outlineLevel="0" collapsed="false">
      <c r="A163" s="4" t="s">
        <v>321</v>
      </c>
      <c r="B163" s="4" t="s">
        <v>68</v>
      </c>
      <c r="C163" s="4" t="s">
        <v>159</v>
      </c>
      <c r="D163" s="4" t="s">
        <v>154</v>
      </c>
      <c r="E163" s="4" t="n">
        <v>12</v>
      </c>
      <c r="F163" s="12" t="n">
        <v>19896</v>
      </c>
      <c r="G163" s="10" t="str">
        <f aca="false">IFERROR(INDEX(Mapping!$B$2:$B$100,MATCH(B163,Mapping!$A$2:$A$100,0)),"UNMATCHED")</f>
        <v>M04</v>
      </c>
    </row>
    <row r="164" customFormat="false" ht="15" hidden="false" customHeight="false" outlineLevel="0" collapsed="false">
      <c r="A164" s="4" t="s">
        <v>322</v>
      </c>
      <c r="B164" s="4" t="s">
        <v>64</v>
      </c>
      <c r="C164" s="4" t="s">
        <v>159</v>
      </c>
      <c r="D164" s="4" t="s">
        <v>163</v>
      </c>
      <c r="E164" s="4" t="n">
        <v>10</v>
      </c>
      <c r="F164" s="12" t="n">
        <v>19820</v>
      </c>
      <c r="G164" s="10" t="str">
        <f aca="false">IFERROR(INDEX(Mapping!$B$2:$B$100,MATCH(B164,Mapping!$A$2:$A$100,0)),"UNMATCHED")</f>
        <v>M04</v>
      </c>
    </row>
    <row r="165" customFormat="false" ht="15" hidden="false" customHeight="false" outlineLevel="0" collapsed="false">
      <c r="A165" s="4" t="s">
        <v>323</v>
      </c>
      <c r="B165" s="4" t="s">
        <v>68</v>
      </c>
      <c r="C165" s="4" t="s">
        <v>156</v>
      </c>
      <c r="D165" s="4" t="s">
        <v>165</v>
      </c>
      <c r="E165" s="4" t="n">
        <v>6</v>
      </c>
      <c r="F165" s="12" t="n">
        <v>10662</v>
      </c>
      <c r="G165" s="10" t="str">
        <f aca="false">IFERROR(INDEX(Mapping!$B$2:$B$100,MATCH(B165,Mapping!$A$2:$A$100,0)),"UNMATCHED")</f>
        <v>M04</v>
      </c>
    </row>
    <row r="166" customFormat="false" ht="15" hidden="false" customHeight="false" outlineLevel="0" collapsed="false">
      <c r="A166" s="4" t="s">
        <v>324</v>
      </c>
      <c r="B166" s="4" t="s">
        <v>68</v>
      </c>
      <c r="C166" s="4" t="s">
        <v>159</v>
      </c>
      <c r="D166" s="4" t="s">
        <v>163</v>
      </c>
      <c r="E166" s="4" t="n">
        <v>2</v>
      </c>
      <c r="F166" s="12" t="n">
        <v>3066</v>
      </c>
      <c r="G166" s="10" t="str">
        <f aca="false">IFERROR(INDEX(Mapping!$B$2:$B$100,MATCH(B166,Mapping!$A$2:$A$100,0)),"UNMATCHED")</f>
        <v>M04</v>
      </c>
    </row>
    <row r="167" customFormat="false" ht="15" hidden="false" customHeight="false" outlineLevel="0" collapsed="false">
      <c r="A167" s="4" t="s">
        <v>325</v>
      </c>
      <c r="B167" s="4" t="s">
        <v>64</v>
      </c>
      <c r="C167" s="4" t="s">
        <v>170</v>
      </c>
      <c r="D167" s="4" t="s">
        <v>151</v>
      </c>
      <c r="E167" s="4" t="n">
        <v>10</v>
      </c>
      <c r="F167" s="12" t="n">
        <v>15090</v>
      </c>
      <c r="G167" s="10" t="str">
        <f aca="false">IFERROR(INDEX(Mapping!$B$2:$B$100,MATCH(B167,Mapping!$A$2:$A$100,0)),"UNMATCHED")</f>
        <v>M04</v>
      </c>
    </row>
    <row r="168" customFormat="false" ht="15" hidden="false" customHeight="false" outlineLevel="0" collapsed="false">
      <c r="A168" s="4" t="s">
        <v>326</v>
      </c>
      <c r="B168" s="4" t="s">
        <v>68</v>
      </c>
      <c r="C168" s="4" t="s">
        <v>156</v>
      </c>
      <c r="D168" s="4" t="s">
        <v>175</v>
      </c>
      <c r="E168" s="4" t="n">
        <v>2</v>
      </c>
      <c r="F168" s="12" t="n">
        <v>3816</v>
      </c>
      <c r="G168" s="10" t="str">
        <f aca="false">IFERROR(INDEX(Mapping!$B$2:$B$100,MATCH(B168,Mapping!$A$2:$A$100,0)),"UNMATCHED")</f>
        <v>M04</v>
      </c>
    </row>
    <row r="169" customFormat="false" ht="15" hidden="false" customHeight="false" outlineLevel="0" collapsed="false">
      <c r="A169" s="4" t="s">
        <v>327</v>
      </c>
      <c r="B169" s="4" t="s">
        <v>68</v>
      </c>
      <c r="C169" s="4" t="s">
        <v>153</v>
      </c>
      <c r="D169" s="4" t="s">
        <v>163</v>
      </c>
      <c r="E169" s="4" t="n">
        <v>10</v>
      </c>
      <c r="F169" s="12" t="n">
        <v>18620</v>
      </c>
      <c r="G169" s="10" t="str">
        <f aca="false">IFERROR(INDEX(Mapping!$B$2:$B$100,MATCH(B169,Mapping!$A$2:$A$100,0)),"UNMATCHED")</f>
        <v>M04</v>
      </c>
    </row>
    <row r="170" customFormat="false" ht="15" hidden="false" customHeight="false" outlineLevel="0" collapsed="false">
      <c r="A170" s="4" t="s">
        <v>328</v>
      </c>
      <c r="B170" s="4" t="s">
        <v>68</v>
      </c>
      <c r="C170" s="4" t="s">
        <v>153</v>
      </c>
      <c r="D170" s="4" t="s">
        <v>163</v>
      </c>
      <c r="E170" s="4" t="n">
        <v>8</v>
      </c>
      <c r="F170" s="12" t="n">
        <v>16064</v>
      </c>
      <c r="G170" s="10" t="str">
        <f aca="false">IFERROR(INDEX(Mapping!$B$2:$B$100,MATCH(B170,Mapping!$A$2:$A$100,0)),"UNMATCHED")</f>
        <v>M04</v>
      </c>
    </row>
    <row r="171" customFormat="false" ht="15" hidden="false" customHeight="false" outlineLevel="0" collapsed="false">
      <c r="A171" s="4" t="s">
        <v>329</v>
      </c>
      <c r="B171" s="4" t="s">
        <v>68</v>
      </c>
      <c r="C171" s="4" t="s">
        <v>153</v>
      </c>
      <c r="D171" s="4" t="s">
        <v>168</v>
      </c>
      <c r="E171" s="4" t="n">
        <v>10</v>
      </c>
      <c r="F171" s="12" t="n">
        <v>15230</v>
      </c>
      <c r="G171" s="10" t="str">
        <f aca="false">IFERROR(INDEX(Mapping!$B$2:$B$100,MATCH(B171,Mapping!$A$2:$A$100,0)),"UNMATCHED")</f>
        <v>M04</v>
      </c>
    </row>
    <row r="172" customFormat="false" ht="15" hidden="false" customHeight="false" outlineLevel="0" collapsed="false">
      <c r="A172" s="4" t="s">
        <v>330</v>
      </c>
      <c r="B172" s="4" t="s">
        <v>64</v>
      </c>
      <c r="C172" s="4" t="s">
        <v>150</v>
      </c>
      <c r="D172" s="4" t="s">
        <v>168</v>
      </c>
      <c r="E172" s="4" t="n">
        <v>4</v>
      </c>
      <c r="F172" s="12" t="n">
        <v>7328</v>
      </c>
      <c r="G172" s="10" t="str">
        <f aca="false">IFERROR(INDEX(Mapping!$B$2:$B$100,MATCH(B172,Mapping!$A$2:$A$100,0)),"UNMATCHED")</f>
        <v>M04</v>
      </c>
    </row>
    <row r="173" customFormat="false" ht="15" hidden="false" customHeight="false" outlineLevel="0" collapsed="false">
      <c r="A173" s="4" t="s">
        <v>331</v>
      </c>
      <c r="B173" s="4" t="s">
        <v>64</v>
      </c>
      <c r="C173" s="4" t="s">
        <v>170</v>
      </c>
      <c r="D173" s="4" t="s">
        <v>175</v>
      </c>
      <c r="E173" s="4" t="n">
        <v>4</v>
      </c>
      <c r="F173" s="12" t="n">
        <v>7564</v>
      </c>
      <c r="G173" s="10" t="str">
        <f aca="false">IFERROR(INDEX(Mapping!$B$2:$B$100,MATCH(B173,Mapping!$A$2:$A$100,0)),"UNMATCHED")</f>
        <v>M04</v>
      </c>
    </row>
    <row r="174" customFormat="false" ht="15" hidden="false" customHeight="false" outlineLevel="0" collapsed="false">
      <c r="A174" s="4" t="s">
        <v>332</v>
      </c>
      <c r="B174" s="4" t="s">
        <v>64</v>
      </c>
      <c r="C174" s="4" t="s">
        <v>159</v>
      </c>
      <c r="D174" s="4" t="s">
        <v>163</v>
      </c>
      <c r="E174" s="4" t="n">
        <v>4</v>
      </c>
      <c r="F174" s="12" t="n">
        <v>5620</v>
      </c>
      <c r="G174" s="10" t="str">
        <f aca="false">IFERROR(INDEX(Mapping!$B$2:$B$100,MATCH(B174,Mapping!$A$2:$A$100,0)),"UNMATCHED")</f>
        <v>M04</v>
      </c>
    </row>
    <row r="175" customFormat="false" ht="15" hidden="false" customHeight="false" outlineLevel="0" collapsed="false">
      <c r="A175" s="4" t="s">
        <v>333</v>
      </c>
      <c r="B175" s="4" t="s">
        <v>68</v>
      </c>
      <c r="C175" s="4" t="s">
        <v>170</v>
      </c>
      <c r="D175" s="4" t="s">
        <v>165</v>
      </c>
      <c r="E175" s="4" t="n">
        <v>6</v>
      </c>
      <c r="F175" s="12" t="n">
        <v>8796</v>
      </c>
      <c r="G175" s="10" t="str">
        <f aca="false">IFERROR(INDEX(Mapping!$B$2:$B$100,MATCH(B175,Mapping!$A$2:$A$100,0)),"UNMATCHED")</f>
        <v>M04</v>
      </c>
    </row>
    <row r="176" customFormat="false" ht="15" hidden="false" customHeight="false" outlineLevel="0" collapsed="false">
      <c r="A176" s="4" t="s">
        <v>334</v>
      </c>
      <c r="B176" s="4" t="s">
        <v>68</v>
      </c>
      <c r="C176" s="4" t="s">
        <v>156</v>
      </c>
      <c r="D176" s="4" t="s">
        <v>168</v>
      </c>
      <c r="E176" s="4" t="n">
        <v>12</v>
      </c>
      <c r="F176" s="12" t="n">
        <v>27948</v>
      </c>
      <c r="G176" s="10" t="str">
        <f aca="false">IFERROR(INDEX(Mapping!$B$2:$B$100,MATCH(B176,Mapping!$A$2:$A$100,0)),"UNMATCHED")</f>
        <v>M04</v>
      </c>
    </row>
    <row r="177" customFormat="false" ht="15" hidden="false" customHeight="false" outlineLevel="0" collapsed="false">
      <c r="A177" s="4" t="s">
        <v>335</v>
      </c>
      <c r="B177" s="4" t="s">
        <v>71</v>
      </c>
      <c r="C177" s="4" t="s">
        <v>159</v>
      </c>
      <c r="D177" s="4" t="s">
        <v>154</v>
      </c>
      <c r="E177" s="4" t="n">
        <v>6</v>
      </c>
      <c r="F177" s="12" t="n">
        <v>10830</v>
      </c>
      <c r="G177" s="10" t="str">
        <f aca="false">IFERROR(INDEX(Mapping!$B$2:$B$100,MATCH(B177,Mapping!$A$2:$A$100,0)),"UNMATCHED")</f>
        <v>M05</v>
      </c>
    </row>
    <row r="178" customFormat="false" ht="15" hidden="false" customHeight="false" outlineLevel="0" collapsed="false">
      <c r="A178" s="4" t="s">
        <v>336</v>
      </c>
      <c r="B178" s="4" t="s">
        <v>71</v>
      </c>
      <c r="C178" s="4" t="s">
        <v>150</v>
      </c>
      <c r="D178" s="4" t="s">
        <v>151</v>
      </c>
      <c r="E178" s="4" t="n">
        <v>12</v>
      </c>
      <c r="F178" s="12" t="n">
        <v>20460</v>
      </c>
      <c r="G178" s="10" t="str">
        <f aca="false">IFERROR(INDEX(Mapping!$B$2:$B$100,MATCH(B178,Mapping!$A$2:$A$100,0)),"UNMATCHED")</f>
        <v>M05</v>
      </c>
    </row>
    <row r="179" customFormat="false" ht="15" hidden="false" customHeight="false" outlineLevel="0" collapsed="false">
      <c r="A179" s="4" t="s">
        <v>337</v>
      </c>
      <c r="B179" s="4" t="s">
        <v>71</v>
      </c>
      <c r="C179" s="4" t="s">
        <v>150</v>
      </c>
      <c r="D179" s="4" t="s">
        <v>175</v>
      </c>
      <c r="E179" s="4" t="n">
        <v>2</v>
      </c>
      <c r="F179" s="12" t="n">
        <v>3478</v>
      </c>
      <c r="G179" s="10" t="str">
        <f aca="false">IFERROR(INDEX(Mapping!$B$2:$B$100,MATCH(B179,Mapping!$A$2:$A$100,0)),"UNMATCHED")</f>
        <v>M05</v>
      </c>
    </row>
    <row r="180" customFormat="false" ht="15" hidden="false" customHeight="false" outlineLevel="0" collapsed="false">
      <c r="A180" s="4" t="s">
        <v>338</v>
      </c>
      <c r="B180" s="4" t="s">
        <v>103</v>
      </c>
      <c r="C180" s="4" t="s">
        <v>159</v>
      </c>
      <c r="D180" s="4" t="s">
        <v>168</v>
      </c>
      <c r="E180" s="4" t="n">
        <v>8</v>
      </c>
      <c r="F180" s="12" t="n">
        <v>13232</v>
      </c>
      <c r="G180" s="10" t="str">
        <f aca="false">IFERROR(INDEX(Mapping!$B$2:$B$100,MATCH(B180,Mapping!$A$2:$A$100,0)),"UNMATCHED")</f>
        <v>M05</v>
      </c>
    </row>
    <row r="181" customFormat="false" ht="15" hidden="false" customHeight="false" outlineLevel="0" collapsed="false">
      <c r="A181" s="4" t="s">
        <v>339</v>
      </c>
      <c r="B181" s="4" t="s">
        <v>103</v>
      </c>
      <c r="C181" s="4" t="s">
        <v>150</v>
      </c>
      <c r="D181" s="4" t="s">
        <v>175</v>
      </c>
      <c r="E181" s="4" t="n">
        <v>12</v>
      </c>
      <c r="F181" s="12" t="n">
        <v>26688</v>
      </c>
      <c r="G181" s="10" t="str">
        <f aca="false">IFERROR(INDEX(Mapping!$B$2:$B$100,MATCH(B181,Mapping!$A$2:$A$100,0)),"UNMATCHED")</f>
        <v>M05</v>
      </c>
    </row>
    <row r="182" customFormat="false" ht="15" hidden="false" customHeight="false" outlineLevel="0" collapsed="false">
      <c r="A182" s="4" t="s">
        <v>340</v>
      </c>
      <c r="B182" s="4" t="s">
        <v>103</v>
      </c>
      <c r="C182" s="4" t="s">
        <v>153</v>
      </c>
      <c r="D182" s="4" t="s">
        <v>154</v>
      </c>
      <c r="E182" s="4" t="n">
        <v>8</v>
      </c>
      <c r="F182" s="12" t="n">
        <v>12512</v>
      </c>
      <c r="G182" s="10" t="str">
        <f aca="false">IFERROR(INDEX(Mapping!$B$2:$B$100,MATCH(B182,Mapping!$A$2:$A$100,0)),"UNMATCHED")</f>
        <v>M05</v>
      </c>
    </row>
    <row r="183" customFormat="false" ht="15" hidden="false" customHeight="false" outlineLevel="0" collapsed="false">
      <c r="A183" s="4" t="s">
        <v>341</v>
      </c>
      <c r="B183" s="4" t="s">
        <v>103</v>
      </c>
      <c r="C183" s="4" t="s">
        <v>153</v>
      </c>
      <c r="D183" s="4" t="s">
        <v>165</v>
      </c>
      <c r="E183" s="4" t="n">
        <v>12</v>
      </c>
      <c r="F183" s="12" t="n">
        <v>24720</v>
      </c>
      <c r="G183" s="10" t="str">
        <f aca="false">IFERROR(INDEX(Mapping!$B$2:$B$100,MATCH(B183,Mapping!$A$2:$A$100,0)),"UNMATCHED")</f>
        <v>M05</v>
      </c>
    </row>
    <row r="184" customFormat="false" ht="15" hidden="false" customHeight="false" outlineLevel="0" collapsed="false">
      <c r="A184" s="4" t="s">
        <v>342</v>
      </c>
      <c r="B184" s="4" t="s">
        <v>71</v>
      </c>
      <c r="C184" s="4" t="s">
        <v>153</v>
      </c>
      <c r="D184" s="4" t="s">
        <v>175</v>
      </c>
      <c r="E184" s="4" t="n">
        <v>2</v>
      </c>
      <c r="F184" s="12" t="n">
        <v>3736</v>
      </c>
      <c r="G184" s="10" t="str">
        <f aca="false">IFERROR(INDEX(Mapping!$B$2:$B$100,MATCH(B184,Mapping!$A$2:$A$100,0)),"UNMATCHED")</f>
        <v>M05</v>
      </c>
    </row>
    <row r="185" customFormat="false" ht="15" hidden="false" customHeight="false" outlineLevel="0" collapsed="false">
      <c r="A185" s="4" t="s">
        <v>343</v>
      </c>
      <c r="B185" s="4" t="s">
        <v>71</v>
      </c>
      <c r="C185" s="4" t="s">
        <v>153</v>
      </c>
      <c r="D185" s="4" t="s">
        <v>154</v>
      </c>
      <c r="E185" s="4" t="n">
        <v>12</v>
      </c>
      <c r="F185" s="12" t="n">
        <v>23412</v>
      </c>
      <c r="G185" s="10" t="str">
        <f aca="false">IFERROR(INDEX(Mapping!$B$2:$B$100,MATCH(B185,Mapping!$A$2:$A$100,0)),"UNMATCHED")</f>
        <v>M05</v>
      </c>
    </row>
    <row r="186" customFormat="false" ht="15" hidden="false" customHeight="false" outlineLevel="0" collapsed="false">
      <c r="A186" s="4" t="s">
        <v>344</v>
      </c>
      <c r="B186" s="4" t="s">
        <v>71</v>
      </c>
      <c r="C186" s="4" t="s">
        <v>159</v>
      </c>
      <c r="D186" s="4" t="s">
        <v>165</v>
      </c>
      <c r="E186" s="4" t="n">
        <v>8</v>
      </c>
      <c r="F186" s="12" t="n">
        <v>19696</v>
      </c>
      <c r="G186" s="10" t="str">
        <f aca="false">IFERROR(INDEX(Mapping!$B$2:$B$100,MATCH(B186,Mapping!$A$2:$A$100,0)),"UNMATCHED")</f>
        <v>M05</v>
      </c>
    </row>
    <row r="187" customFormat="false" ht="15" hidden="false" customHeight="false" outlineLevel="0" collapsed="false">
      <c r="A187" s="4" t="s">
        <v>345</v>
      </c>
      <c r="B187" s="4" t="s">
        <v>71</v>
      </c>
      <c r="C187" s="4" t="s">
        <v>159</v>
      </c>
      <c r="D187" s="4" t="s">
        <v>154</v>
      </c>
      <c r="E187" s="4" t="n">
        <v>10</v>
      </c>
      <c r="F187" s="12" t="n">
        <v>22920</v>
      </c>
      <c r="G187" s="10" t="str">
        <f aca="false">IFERROR(INDEX(Mapping!$B$2:$B$100,MATCH(B187,Mapping!$A$2:$A$100,0)),"UNMATCHED")</f>
        <v>M05</v>
      </c>
    </row>
    <row r="188" customFormat="false" ht="15" hidden="false" customHeight="false" outlineLevel="0" collapsed="false">
      <c r="A188" s="4" t="s">
        <v>346</v>
      </c>
      <c r="B188" s="4" t="s">
        <v>103</v>
      </c>
      <c r="C188" s="4" t="s">
        <v>150</v>
      </c>
      <c r="D188" s="4" t="s">
        <v>165</v>
      </c>
      <c r="E188" s="4" t="n">
        <v>6</v>
      </c>
      <c r="F188" s="12" t="n">
        <v>13416</v>
      </c>
      <c r="G188" s="10" t="str">
        <f aca="false">IFERROR(INDEX(Mapping!$B$2:$B$100,MATCH(B188,Mapping!$A$2:$A$100,0)),"UNMATCHED")</f>
        <v>M05</v>
      </c>
    </row>
    <row r="189" customFormat="false" ht="15" hidden="false" customHeight="false" outlineLevel="0" collapsed="false">
      <c r="A189" s="4" t="s">
        <v>347</v>
      </c>
      <c r="B189" s="4" t="s">
        <v>71</v>
      </c>
      <c r="C189" s="4" t="s">
        <v>159</v>
      </c>
      <c r="D189" s="4" t="s">
        <v>168</v>
      </c>
      <c r="E189" s="4" t="n">
        <v>4</v>
      </c>
      <c r="F189" s="12" t="n">
        <v>8300</v>
      </c>
      <c r="G189" s="10" t="str">
        <f aca="false">IFERROR(INDEX(Mapping!$B$2:$B$100,MATCH(B189,Mapping!$A$2:$A$100,0)),"UNMATCHED")</f>
        <v>M05</v>
      </c>
    </row>
    <row r="190" customFormat="false" ht="15" hidden="false" customHeight="false" outlineLevel="0" collapsed="false">
      <c r="A190" s="4" t="s">
        <v>348</v>
      </c>
      <c r="B190" s="4" t="s">
        <v>103</v>
      </c>
      <c r="C190" s="4" t="s">
        <v>153</v>
      </c>
      <c r="D190" s="4" t="s">
        <v>154</v>
      </c>
      <c r="E190" s="4" t="n">
        <v>6</v>
      </c>
      <c r="F190" s="12" t="n">
        <v>13320</v>
      </c>
      <c r="G190" s="10" t="str">
        <f aca="false">IFERROR(INDEX(Mapping!$B$2:$B$100,MATCH(B190,Mapping!$A$2:$A$100,0)),"UNMATCHED")</f>
        <v>M05</v>
      </c>
    </row>
    <row r="191" customFormat="false" ht="15" hidden="false" customHeight="false" outlineLevel="0" collapsed="false">
      <c r="A191" s="4" t="s">
        <v>349</v>
      </c>
      <c r="B191" s="4" t="s">
        <v>103</v>
      </c>
      <c r="C191" s="4" t="s">
        <v>150</v>
      </c>
      <c r="D191" s="4" t="s">
        <v>165</v>
      </c>
      <c r="E191" s="4" t="n">
        <v>2</v>
      </c>
      <c r="F191" s="12" t="n">
        <v>4088</v>
      </c>
      <c r="G191" s="10" t="str">
        <f aca="false">IFERROR(INDEX(Mapping!$B$2:$B$100,MATCH(B191,Mapping!$A$2:$A$100,0)),"UNMATCHED")</f>
        <v>M05</v>
      </c>
    </row>
    <row r="192" customFormat="false" ht="15" hidden="false" customHeight="false" outlineLevel="0" collapsed="false">
      <c r="A192" s="4" t="s">
        <v>350</v>
      </c>
      <c r="B192" s="4" t="s">
        <v>71</v>
      </c>
      <c r="C192" s="4" t="s">
        <v>156</v>
      </c>
      <c r="D192" s="4" t="s">
        <v>168</v>
      </c>
      <c r="E192" s="4" t="n">
        <v>8</v>
      </c>
      <c r="F192" s="12" t="n">
        <v>19624</v>
      </c>
      <c r="G192" s="10" t="str">
        <f aca="false">IFERROR(INDEX(Mapping!$B$2:$B$100,MATCH(B192,Mapping!$A$2:$A$100,0)),"UNMATCHED")</f>
        <v>M05</v>
      </c>
    </row>
    <row r="193" customFormat="false" ht="15" hidden="false" customHeight="false" outlineLevel="0" collapsed="false">
      <c r="A193" s="4" t="s">
        <v>351</v>
      </c>
      <c r="B193" s="4" t="s">
        <v>103</v>
      </c>
      <c r="C193" s="4" t="s">
        <v>170</v>
      </c>
      <c r="D193" s="4" t="s">
        <v>175</v>
      </c>
      <c r="E193" s="4" t="n">
        <v>8</v>
      </c>
      <c r="F193" s="12" t="n">
        <v>12088</v>
      </c>
      <c r="G193" s="10" t="str">
        <f aca="false">IFERROR(INDEX(Mapping!$B$2:$B$100,MATCH(B193,Mapping!$A$2:$A$100,0)),"UNMATCHED")</f>
        <v>M05</v>
      </c>
    </row>
    <row r="194" customFormat="false" ht="15" hidden="false" customHeight="false" outlineLevel="0" collapsed="false">
      <c r="A194" s="4" t="s">
        <v>352</v>
      </c>
      <c r="B194" s="4" t="s">
        <v>103</v>
      </c>
      <c r="C194" s="4" t="s">
        <v>159</v>
      </c>
      <c r="D194" s="4" t="s">
        <v>154</v>
      </c>
      <c r="E194" s="4" t="n">
        <v>10</v>
      </c>
      <c r="F194" s="12" t="n">
        <v>24200</v>
      </c>
      <c r="G194" s="10" t="str">
        <f aca="false">IFERROR(INDEX(Mapping!$B$2:$B$100,MATCH(B194,Mapping!$A$2:$A$100,0)),"UNMATCHED")</f>
        <v>M05</v>
      </c>
    </row>
    <row r="195" customFormat="false" ht="15" hidden="false" customHeight="false" outlineLevel="0" collapsed="false">
      <c r="A195" s="4" t="s">
        <v>353</v>
      </c>
      <c r="B195" s="4" t="s">
        <v>71</v>
      </c>
      <c r="C195" s="4" t="s">
        <v>170</v>
      </c>
      <c r="D195" s="4" t="s">
        <v>165</v>
      </c>
      <c r="E195" s="4" t="n">
        <v>6</v>
      </c>
      <c r="F195" s="12" t="n">
        <v>15144</v>
      </c>
      <c r="G195" s="10" t="str">
        <f aca="false">IFERROR(INDEX(Mapping!$B$2:$B$100,MATCH(B195,Mapping!$A$2:$A$100,0)),"UNMATCHED")</f>
        <v>M05</v>
      </c>
    </row>
    <row r="196" customFormat="false" ht="15" hidden="false" customHeight="false" outlineLevel="0" collapsed="false">
      <c r="A196" s="4" t="s">
        <v>354</v>
      </c>
      <c r="B196" s="4" t="s">
        <v>103</v>
      </c>
      <c r="C196" s="4" t="s">
        <v>156</v>
      </c>
      <c r="D196" s="4" t="s">
        <v>154</v>
      </c>
      <c r="E196" s="4" t="n">
        <v>12</v>
      </c>
      <c r="F196" s="12" t="n">
        <v>28704</v>
      </c>
      <c r="G196" s="10" t="str">
        <f aca="false">IFERROR(INDEX(Mapping!$B$2:$B$100,MATCH(B196,Mapping!$A$2:$A$100,0)),"UNMATCHED")</f>
        <v>M05</v>
      </c>
    </row>
    <row r="197" customFormat="false" ht="15" hidden="false" customHeight="false" outlineLevel="0" collapsed="false">
      <c r="A197" s="4" t="s">
        <v>355</v>
      </c>
      <c r="B197" s="4" t="s">
        <v>71</v>
      </c>
      <c r="C197" s="4" t="s">
        <v>150</v>
      </c>
      <c r="D197" s="4" t="s">
        <v>175</v>
      </c>
      <c r="E197" s="4" t="n">
        <v>12</v>
      </c>
      <c r="F197" s="12" t="n">
        <v>20688</v>
      </c>
      <c r="G197" s="10" t="str">
        <f aca="false">IFERROR(INDEX(Mapping!$B$2:$B$100,MATCH(B197,Mapping!$A$2:$A$100,0)),"UNMATCHED")</f>
        <v>M05</v>
      </c>
    </row>
    <row r="198" customFormat="false" ht="15" hidden="false" customHeight="false" outlineLevel="0" collapsed="false">
      <c r="A198" s="4" t="s">
        <v>356</v>
      </c>
      <c r="B198" s="4" t="s">
        <v>71</v>
      </c>
      <c r="C198" s="4" t="s">
        <v>156</v>
      </c>
      <c r="D198" s="4" t="s">
        <v>151</v>
      </c>
      <c r="E198" s="4" t="n">
        <v>10</v>
      </c>
      <c r="F198" s="12" t="n">
        <v>22350</v>
      </c>
      <c r="G198" s="10" t="str">
        <f aca="false">IFERROR(INDEX(Mapping!$B$2:$B$100,MATCH(B198,Mapping!$A$2:$A$100,0)),"UNMATCHED")</f>
        <v>M05</v>
      </c>
    </row>
    <row r="199" customFormat="false" ht="15" hidden="false" customHeight="false" outlineLevel="0" collapsed="false">
      <c r="A199" s="4" t="s">
        <v>357</v>
      </c>
      <c r="B199" s="4" t="s">
        <v>71</v>
      </c>
      <c r="C199" s="4" t="s">
        <v>170</v>
      </c>
      <c r="D199" s="4" t="s">
        <v>163</v>
      </c>
      <c r="E199" s="4" t="n">
        <v>8</v>
      </c>
      <c r="F199" s="12" t="n">
        <v>13120</v>
      </c>
      <c r="G199" s="10" t="str">
        <f aca="false">IFERROR(INDEX(Mapping!$B$2:$B$100,MATCH(B199,Mapping!$A$2:$A$100,0)),"UNMATCHED")</f>
        <v>M05</v>
      </c>
    </row>
    <row r="200" customFormat="false" ht="15" hidden="false" customHeight="false" outlineLevel="0" collapsed="false">
      <c r="A200" s="4" t="s">
        <v>358</v>
      </c>
      <c r="B200" s="4" t="s">
        <v>103</v>
      </c>
      <c r="C200" s="4" t="s">
        <v>159</v>
      </c>
      <c r="D200" s="4" t="s">
        <v>163</v>
      </c>
      <c r="E200" s="4" t="n">
        <v>10</v>
      </c>
      <c r="F200" s="12" t="n">
        <v>19590</v>
      </c>
      <c r="G200" s="10" t="str">
        <f aca="false">IFERROR(INDEX(Mapping!$B$2:$B$100,MATCH(B200,Mapping!$A$2:$A$100,0)),"UNMATCHED")</f>
        <v>M05</v>
      </c>
    </row>
    <row r="201" customFormat="false" ht="15" hidden="false" customHeight="false" outlineLevel="0" collapsed="false">
      <c r="A201" s="4" t="s">
        <v>359</v>
      </c>
      <c r="B201" s="4" t="s">
        <v>103</v>
      </c>
      <c r="C201" s="4" t="s">
        <v>153</v>
      </c>
      <c r="D201" s="4" t="s">
        <v>151</v>
      </c>
      <c r="E201" s="4" t="n">
        <v>4</v>
      </c>
      <c r="F201" s="12" t="n">
        <v>9340</v>
      </c>
      <c r="G201" s="10" t="str">
        <f aca="false">IFERROR(INDEX(Mapping!$B$2:$B$100,MATCH(B201,Mapping!$A$2:$A$100,0)),"UNMATCHED")</f>
        <v>M05</v>
      </c>
    </row>
    <row r="202" customFormat="false" ht="15" hidden="false" customHeight="false" outlineLevel="0" collapsed="false">
      <c r="A202" s="4" t="s">
        <v>360</v>
      </c>
      <c r="B202" s="4" t="s">
        <v>103</v>
      </c>
      <c r="C202" s="4" t="s">
        <v>170</v>
      </c>
      <c r="D202" s="4" t="s">
        <v>154</v>
      </c>
      <c r="E202" s="4" t="n">
        <v>4</v>
      </c>
      <c r="F202" s="12" t="n">
        <v>9760</v>
      </c>
      <c r="G202" s="10" t="str">
        <f aca="false">IFERROR(INDEX(Mapping!$B$2:$B$100,MATCH(B202,Mapping!$A$2:$A$100,0)),"UNMATCHED")</f>
        <v>M05</v>
      </c>
    </row>
    <row r="203" customFormat="false" ht="15" hidden="false" customHeight="false" outlineLevel="0" collapsed="false">
      <c r="A203" s="4" t="s">
        <v>361</v>
      </c>
      <c r="B203" s="4" t="s">
        <v>103</v>
      </c>
      <c r="C203" s="4" t="s">
        <v>153</v>
      </c>
      <c r="D203" s="4" t="s">
        <v>165</v>
      </c>
      <c r="E203" s="4" t="n">
        <v>8</v>
      </c>
      <c r="F203" s="12" t="n">
        <v>16768</v>
      </c>
      <c r="G203" s="10" t="str">
        <f aca="false">IFERROR(INDEX(Mapping!$B$2:$B$100,MATCH(B203,Mapping!$A$2:$A$100,0)),"UNMATCHED")</f>
        <v>M05</v>
      </c>
    </row>
    <row r="204" customFormat="false" ht="15" hidden="false" customHeight="false" outlineLevel="0" collapsed="false">
      <c r="A204" s="4" t="s">
        <v>362</v>
      </c>
      <c r="B204" s="4" t="s">
        <v>71</v>
      </c>
      <c r="C204" s="4" t="s">
        <v>153</v>
      </c>
      <c r="D204" s="4" t="s">
        <v>175</v>
      </c>
      <c r="E204" s="4" t="n">
        <v>6</v>
      </c>
      <c r="F204" s="12" t="n">
        <v>12066</v>
      </c>
      <c r="G204" s="10" t="str">
        <f aca="false">IFERROR(INDEX(Mapping!$B$2:$B$100,MATCH(B204,Mapping!$A$2:$A$100,0)),"UNMATCHED")</f>
        <v>M05</v>
      </c>
    </row>
    <row r="205" customFormat="false" ht="15" hidden="false" customHeight="false" outlineLevel="0" collapsed="false">
      <c r="A205" s="4" t="s">
        <v>363</v>
      </c>
      <c r="B205" s="4" t="s">
        <v>103</v>
      </c>
      <c r="C205" s="4" t="s">
        <v>153</v>
      </c>
      <c r="D205" s="4" t="s">
        <v>163</v>
      </c>
      <c r="E205" s="4" t="n">
        <v>4</v>
      </c>
      <c r="F205" s="12" t="n">
        <v>9256</v>
      </c>
      <c r="G205" s="10" t="str">
        <f aca="false">IFERROR(INDEX(Mapping!$B$2:$B$100,MATCH(B205,Mapping!$A$2:$A$100,0)),"UNMATCHED")</f>
        <v>M05</v>
      </c>
    </row>
    <row r="206" customFormat="false" ht="15" hidden="false" customHeight="false" outlineLevel="0" collapsed="false">
      <c r="A206" s="4" t="s">
        <v>364</v>
      </c>
      <c r="B206" s="4" t="s">
        <v>103</v>
      </c>
      <c r="C206" s="4" t="s">
        <v>153</v>
      </c>
      <c r="D206" s="4" t="s">
        <v>163</v>
      </c>
      <c r="E206" s="4" t="n">
        <v>6</v>
      </c>
      <c r="F206" s="12" t="n">
        <v>15180</v>
      </c>
      <c r="G206" s="10" t="str">
        <f aca="false">IFERROR(INDEX(Mapping!$B$2:$B$100,MATCH(B206,Mapping!$A$2:$A$100,0)),"UNMATCHED")</f>
        <v>M05</v>
      </c>
    </row>
    <row r="207" customFormat="false" ht="15" hidden="false" customHeight="false" outlineLevel="0" collapsed="false">
      <c r="A207" s="4" t="s">
        <v>365</v>
      </c>
      <c r="B207" s="4" t="s">
        <v>77</v>
      </c>
      <c r="C207" s="4" t="s">
        <v>170</v>
      </c>
      <c r="D207" s="4" t="s">
        <v>175</v>
      </c>
      <c r="E207" s="4" t="n">
        <v>6</v>
      </c>
      <c r="F207" s="12" t="n">
        <v>10716</v>
      </c>
      <c r="G207" s="10" t="str">
        <f aca="false">IFERROR(INDEX(Mapping!$B$2:$B$100,MATCH(B207,Mapping!$A$2:$A$100,0)),"UNMATCHED")</f>
        <v>M06</v>
      </c>
    </row>
    <row r="208" customFormat="false" ht="15" hidden="false" customHeight="false" outlineLevel="0" collapsed="false">
      <c r="A208" s="4" t="s">
        <v>366</v>
      </c>
      <c r="B208" s="4" t="s">
        <v>77</v>
      </c>
      <c r="C208" s="4" t="s">
        <v>156</v>
      </c>
      <c r="D208" s="4" t="s">
        <v>165</v>
      </c>
      <c r="E208" s="4" t="n">
        <v>4</v>
      </c>
      <c r="F208" s="12" t="n">
        <v>8964</v>
      </c>
      <c r="G208" s="10" t="str">
        <f aca="false">IFERROR(INDEX(Mapping!$B$2:$B$100,MATCH(B208,Mapping!$A$2:$A$100,0)),"UNMATCHED")</f>
        <v>M06</v>
      </c>
    </row>
    <row r="209" customFormat="false" ht="15" hidden="false" customHeight="false" outlineLevel="0" collapsed="false">
      <c r="A209" s="4" t="s">
        <v>367</v>
      </c>
      <c r="B209" s="4" t="s">
        <v>77</v>
      </c>
      <c r="C209" s="4" t="s">
        <v>159</v>
      </c>
      <c r="D209" s="4" t="s">
        <v>168</v>
      </c>
      <c r="E209" s="4" t="n">
        <v>12</v>
      </c>
      <c r="F209" s="12" t="n">
        <v>26160</v>
      </c>
      <c r="G209" s="10" t="str">
        <f aca="false">IFERROR(INDEX(Mapping!$B$2:$B$100,MATCH(B209,Mapping!$A$2:$A$100,0)),"UNMATCHED")</f>
        <v>M06</v>
      </c>
    </row>
    <row r="210" customFormat="false" ht="15" hidden="false" customHeight="false" outlineLevel="0" collapsed="false">
      <c r="A210" s="4" t="s">
        <v>368</v>
      </c>
      <c r="B210" s="4" t="s">
        <v>73</v>
      </c>
      <c r="C210" s="4" t="s">
        <v>170</v>
      </c>
      <c r="D210" s="4" t="s">
        <v>175</v>
      </c>
      <c r="E210" s="4" t="n">
        <v>8</v>
      </c>
      <c r="F210" s="12" t="n">
        <v>11800</v>
      </c>
      <c r="G210" s="10" t="str">
        <f aca="false">IFERROR(INDEX(Mapping!$B$2:$B$100,MATCH(B210,Mapping!$A$2:$A$100,0)),"UNMATCHED")</f>
        <v>M06</v>
      </c>
    </row>
    <row r="211" customFormat="false" ht="15" hidden="false" customHeight="false" outlineLevel="0" collapsed="false">
      <c r="A211" s="4" t="s">
        <v>369</v>
      </c>
      <c r="B211" s="4" t="s">
        <v>77</v>
      </c>
      <c r="C211" s="4" t="s">
        <v>156</v>
      </c>
      <c r="D211" s="4" t="s">
        <v>175</v>
      </c>
      <c r="E211" s="4" t="n">
        <v>2</v>
      </c>
      <c r="F211" s="12" t="n">
        <v>4602</v>
      </c>
      <c r="G211" s="10" t="str">
        <f aca="false">IFERROR(INDEX(Mapping!$B$2:$B$100,MATCH(B211,Mapping!$A$2:$A$100,0)),"UNMATCHED")</f>
        <v>M06</v>
      </c>
    </row>
    <row r="212" customFormat="false" ht="15" hidden="false" customHeight="false" outlineLevel="0" collapsed="false">
      <c r="A212" s="4" t="s">
        <v>370</v>
      </c>
      <c r="B212" s="4" t="s">
        <v>77</v>
      </c>
      <c r="C212" s="4" t="s">
        <v>159</v>
      </c>
      <c r="D212" s="4" t="s">
        <v>168</v>
      </c>
      <c r="E212" s="4" t="n">
        <v>2</v>
      </c>
      <c r="F212" s="12" t="n">
        <v>3390</v>
      </c>
      <c r="G212" s="10" t="str">
        <f aca="false">IFERROR(INDEX(Mapping!$B$2:$B$100,MATCH(B212,Mapping!$A$2:$A$100,0)),"UNMATCHED")</f>
        <v>M06</v>
      </c>
    </row>
    <row r="213" customFormat="false" ht="15" hidden="false" customHeight="false" outlineLevel="0" collapsed="false">
      <c r="A213" s="4" t="s">
        <v>371</v>
      </c>
      <c r="B213" s="4" t="s">
        <v>73</v>
      </c>
      <c r="C213" s="4" t="s">
        <v>150</v>
      </c>
      <c r="D213" s="4" t="s">
        <v>165</v>
      </c>
      <c r="E213" s="4" t="n">
        <v>2</v>
      </c>
      <c r="F213" s="12" t="n">
        <v>4722</v>
      </c>
      <c r="G213" s="10" t="str">
        <f aca="false">IFERROR(INDEX(Mapping!$B$2:$B$100,MATCH(B213,Mapping!$A$2:$A$100,0)),"UNMATCHED")</f>
        <v>M06</v>
      </c>
    </row>
    <row r="214" customFormat="false" ht="15" hidden="false" customHeight="false" outlineLevel="0" collapsed="false">
      <c r="A214" s="4" t="s">
        <v>372</v>
      </c>
      <c r="B214" s="4" t="s">
        <v>77</v>
      </c>
      <c r="C214" s="4" t="s">
        <v>150</v>
      </c>
      <c r="D214" s="4" t="s">
        <v>168</v>
      </c>
      <c r="E214" s="4" t="n">
        <v>12</v>
      </c>
      <c r="F214" s="12" t="n">
        <v>18768</v>
      </c>
      <c r="G214" s="10" t="str">
        <f aca="false">IFERROR(INDEX(Mapping!$B$2:$B$100,MATCH(B214,Mapping!$A$2:$A$100,0)),"UNMATCHED")</f>
        <v>M06</v>
      </c>
    </row>
    <row r="215" customFormat="false" ht="15" hidden="false" customHeight="false" outlineLevel="0" collapsed="false">
      <c r="A215" s="4" t="s">
        <v>373</v>
      </c>
      <c r="B215" s="4" t="s">
        <v>77</v>
      </c>
      <c r="C215" s="4" t="s">
        <v>153</v>
      </c>
      <c r="D215" s="4" t="s">
        <v>154</v>
      </c>
      <c r="E215" s="4" t="n">
        <v>6</v>
      </c>
      <c r="F215" s="12" t="n">
        <v>14394</v>
      </c>
      <c r="G215" s="10" t="str">
        <f aca="false">IFERROR(INDEX(Mapping!$B$2:$B$100,MATCH(B215,Mapping!$A$2:$A$100,0)),"UNMATCHED")</f>
        <v>M06</v>
      </c>
    </row>
    <row r="216" customFormat="false" ht="15" hidden="false" customHeight="false" outlineLevel="0" collapsed="false">
      <c r="A216" s="4" t="s">
        <v>374</v>
      </c>
      <c r="B216" s="4" t="s">
        <v>73</v>
      </c>
      <c r="C216" s="4" t="s">
        <v>170</v>
      </c>
      <c r="D216" s="4" t="s">
        <v>168</v>
      </c>
      <c r="E216" s="4" t="n">
        <v>4</v>
      </c>
      <c r="F216" s="12" t="n">
        <v>7952</v>
      </c>
      <c r="G216" s="10" t="str">
        <f aca="false">IFERROR(INDEX(Mapping!$B$2:$B$100,MATCH(B216,Mapping!$A$2:$A$100,0)),"UNMATCHED")</f>
        <v>M06</v>
      </c>
    </row>
    <row r="217" customFormat="false" ht="15" hidden="false" customHeight="false" outlineLevel="0" collapsed="false">
      <c r="A217" s="4" t="s">
        <v>375</v>
      </c>
      <c r="B217" s="4" t="s">
        <v>73</v>
      </c>
      <c r="C217" s="4" t="s">
        <v>156</v>
      </c>
      <c r="D217" s="4" t="s">
        <v>163</v>
      </c>
      <c r="E217" s="4" t="n">
        <v>8</v>
      </c>
      <c r="F217" s="12" t="n">
        <v>12808</v>
      </c>
      <c r="G217" s="10" t="str">
        <f aca="false">IFERROR(INDEX(Mapping!$B$2:$B$100,MATCH(B217,Mapping!$A$2:$A$100,0)),"UNMATCHED")</f>
        <v>M06</v>
      </c>
    </row>
    <row r="218" customFormat="false" ht="15" hidden="false" customHeight="false" outlineLevel="0" collapsed="false">
      <c r="A218" s="4" t="s">
        <v>376</v>
      </c>
      <c r="B218" s="4" t="s">
        <v>73</v>
      </c>
      <c r="C218" s="4" t="s">
        <v>156</v>
      </c>
      <c r="D218" s="4" t="s">
        <v>154</v>
      </c>
      <c r="E218" s="4" t="n">
        <v>12</v>
      </c>
      <c r="F218" s="12" t="n">
        <v>24156</v>
      </c>
      <c r="G218" s="10" t="str">
        <f aca="false">IFERROR(INDEX(Mapping!$B$2:$B$100,MATCH(B218,Mapping!$A$2:$A$100,0)),"UNMATCHED")</f>
        <v>M06</v>
      </c>
    </row>
    <row r="219" customFormat="false" ht="15" hidden="false" customHeight="false" outlineLevel="0" collapsed="false">
      <c r="A219" s="4" t="s">
        <v>377</v>
      </c>
      <c r="B219" s="4" t="s">
        <v>77</v>
      </c>
      <c r="C219" s="4" t="s">
        <v>150</v>
      </c>
      <c r="D219" s="4" t="s">
        <v>165</v>
      </c>
      <c r="E219" s="4" t="n">
        <v>2</v>
      </c>
      <c r="F219" s="12" t="n">
        <v>4000</v>
      </c>
      <c r="G219" s="10" t="str">
        <f aca="false">IFERROR(INDEX(Mapping!$B$2:$B$100,MATCH(B219,Mapping!$A$2:$A$100,0)),"UNMATCHED")</f>
        <v>M06</v>
      </c>
    </row>
    <row r="220" customFormat="false" ht="15" hidden="false" customHeight="false" outlineLevel="0" collapsed="false">
      <c r="A220" s="4" t="s">
        <v>378</v>
      </c>
      <c r="B220" s="4" t="s">
        <v>77</v>
      </c>
      <c r="C220" s="4" t="s">
        <v>153</v>
      </c>
      <c r="D220" s="4" t="s">
        <v>163</v>
      </c>
      <c r="E220" s="4" t="n">
        <v>4</v>
      </c>
      <c r="F220" s="12" t="n">
        <v>7600</v>
      </c>
      <c r="G220" s="10" t="str">
        <f aca="false">IFERROR(INDEX(Mapping!$B$2:$B$100,MATCH(B220,Mapping!$A$2:$A$100,0)),"UNMATCHED")</f>
        <v>M06</v>
      </c>
    </row>
    <row r="221" customFormat="false" ht="15" hidden="false" customHeight="false" outlineLevel="0" collapsed="false">
      <c r="A221" s="4" t="s">
        <v>379</v>
      </c>
      <c r="B221" s="4" t="s">
        <v>73</v>
      </c>
      <c r="C221" s="4" t="s">
        <v>156</v>
      </c>
      <c r="D221" s="4" t="s">
        <v>175</v>
      </c>
      <c r="E221" s="4" t="n">
        <v>4</v>
      </c>
      <c r="F221" s="12" t="n">
        <v>7032</v>
      </c>
      <c r="G221" s="10" t="str">
        <f aca="false">IFERROR(INDEX(Mapping!$B$2:$B$100,MATCH(B221,Mapping!$A$2:$A$100,0)),"UNMATCHED")</f>
        <v>M06</v>
      </c>
    </row>
    <row r="222" customFormat="false" ht="15" hidden="false" customHeight="false" outlineLevel="0" collapsed="false">
      <c r="A222" s="4" t="s">
        <v>380</v>
      </c>
      <c r="B222" s="4" t="s">
        <v>77</v>
      </c>
      <c r="C222" s="4" t="s">
        <v>159</v>
      </c>
      <c r="D222" s="4" t="s">
        <v>175</v>
      </c>
      <c r="E222" s="4" t="n">
        <v>10</v>
      </c>
      <c r="F222" s="12" t="n">
        <v>18930</v>
      </c>
      <c r="G222" s="10" t="str">
        <f aca="false">IFERROR(INDEX(Mapping!$B$2:$B$100,MATCH(B222,Mapping!$A$2:$A$100,0)),"UNMATCHED")</f>
        <v>M06</v>
      </c>
    </row>
    <row r="223" customFormat="false" ht="15" hidden="false" customHeight="false" outlineLevel="0" collapsed="false">
      <c r="A223" s="4" t="s">
        <v>381</v>
      </c>
      <c r="B223" s="4" t="s">
        <v>73</v>
      </c>
      <c r="C223" s="4" t="s">
        <v>150</v>
      </c>
      <c r="D223" s="4" t="s">
        <v>163</v>
      </c>
      <c r="E223" s="4" t="n">
        <v>4</v>
      </c>
      <c r="F223" s="12" t="n">
        <v>9376</v>
      </c>
      <c r="G223" s="10" t="str">
        <f aca="false">IFERROR(INDEX(Mapping!$B$2:$B$100,MATCH(B223,Mapping!$A$2:$A$100,0)),"UNMATCHED")</f>
        <v>M06</v>
      </c>
    </row>
    <row r="224" customFormat="false" ht="15" hidden="false" customHeight="false" outlineLevel="0" collapsed="false">
      <c r="A224" s="4" t="s">
        <v>382</v>
      </c>
      <c r="B224" s="4" t="s">
        <v>77</v>
      </c>
      <c r="C224" s="4" t="s">
        <v>159</v>
      </c>
      <c r="D224" s="4" t="s">
        <v>165</v>
      </c>
      <c r="E224" s="4" t="n">
        <v>12</v>
      </c>
      <c r="F224" s="12" t="n">
        <v>17028</v>
      </c>
      <c r="G224" s="10" t="str">
        <f aca="false">IFERROR(INDEX(Mapping!$B$2:$B$100,MATCH(B224,Mapping!$A$2:$A$100,0)),"UNMATCHED")</f>
        <v>M06</v>
      </c>
    </row>
    <row r="225" customFormat="false" ht="15" hidden="false" customHeight="false" outlineLevel="0" collapsed="false">
      <c r="A225" s="4" t="s">
        <v>383</v>
      </c>
      <c r="B225" s="4" t="s">
        <v>73</v>
      </c>
      <c r="C225" s="4" t="s">
        <v>150</v>
      </c>
      <c r="D225" s="4" t="s">
        <v>175</v>
      </c>
      <c r="E225" s="4" t="n">
        <v>2</v>
      </c>
      <c r="F225" s="12" t="n">
        <v>4608</v>
      </c>
      <c r="G225" s="10" t="str">
        <f aca="false">IFERROR(INDEX(Mapping!$B$2:$B$100,MATCH(B225,Mapping!$A$2:$A$100,0)),"UNMATCHED")</f>
        <v>M06</v>
      </c>
    </row>
    <row r="226" customFormat="false" ht="15" hidden="false" customHeight="false" outlineLevel="0" collapsed="false">
      <c r="A226" s="4" t="s">
        <v>384</v>
      </c>
      <c r="B226" s="4" t="s">
        <v>77</v>
      </c>
      <c r="C226" s="4" t="s">
        <v>150</v>
      </c>
      <c r="D226" s="4" t="s">
        <v>163</v>
      </c>
      <c r="E226" s="4" t="n">
        <v>12</v>
      </c>
      <c r="F226" s="12" t="n">
        <v>27216</v>
      </c>
      <c r="G226" s="10" t="str">
        <f aca="false">IFERROR(INDEX(Mapping!$B$2:$B$100,MATCH(B226,Mapping!$A$2:$A$100,0)),"UNMATCHED")</f>
        <v>M06</v>
      </c>
    </row>
    <row r="227" customFormat="false" ht="15" hidden="false" customHeight="false" outlineLevel="0" collapsed="false">
      <c r="A227" s="4" t="s">
        <v>385</v>
      </c>
      <c r="B227" s="4" t="s">
        <v>77</v>
      </c>
      <c r="C227" s="4" t="s">
        <v>159</v>
      </c>
      <c r="D227" s="4" t="s">
        <v>154</v>
      </c>
      <c r="E227" s="4" t="n">
        <v>4</v>
      </c>
      <c r="F227" s="12" t="n">
        <v>8748</v>
      </c>
      <c r="G227" s="10" t="str">
        <f aca="false">IFERROR(INDEX(Mapping!$B$2:$B$100,MATCH(B227,Mapping!$A$2:$A$100,0)),"UNMATCHED")</f>
        <v>M06</v>
      </c>
    </row>
    <row r="228" customFormat="false" ht="15" hidden="false" customHeight="false" outlineLevel="0" collapsed="false">
      <c r="A228" s="4" t="s">
        <v>386</v>
      </c>
      <c r="B228" s="4" t="s">
        <v>73</v>
      </c>
      <c r="C228" s="4" t="s">
        <v>150</v>
      </c>
      <c r="D228" s="4" t="s">
        <v>175</v>
      </c>
      <c r="E228" s="4" t="n">
        <v>8</v>
      </c>
      <c r="F228" s="12" t="n">
        <v>20568</v>
      </c>
      <c r="G228" s="10" t="str">
        <f aca="false">IFERROR(INDEX(Mapping!$B$2:$B$100,MATCH(B228,Mapping!$A$2:$A$100,0)),"UNMATCHED")</f>
        <v>M06</v>
      </c>
    </row>
    <row r="229" customFormat="false" ht="15" hidden="false" customHeight="false" outlineLevel="0" collapsed="false">
      <c r="A229" s="4" t="s">
        <v>387</v>
      </c>
      <c r="B229" s="4" t="s">
        <v>77</v>
      </c>
      <c r="C229" s="4" t="s">
        <v>156</v>
      </c>
      <c r="D229" s="4" t="s">
        <v>168</v>
      </c>
      <c r="E229" s="4" t="n">
        <v>12</v>
      </c>
      <c r="F229" s="12" t="n">
        <v>24048</v>
      </c>
      <c r="G229" s="10" t="str">
        <f aca="false">IFERROR(INDEX(Mapping!$B$2:$B$100,MATCH(B229,Mapping!$A$2:$A$100,0)),"UNMATCHED")</f>
        <v>M06</v>
      </c>
    </row>
    <row r="230" customFormat="false" ht="15" hidden="false" customHeight="false" outlineLevel="0" collapsed="false">
      <c r="A230" s="4" t="s">
        <v>388</v>
      </c>
      <c r="B230" s="4" t="s">
        <v>77</v>
      </c>
      <c r="C230" s="4" t="s">
        <v>153</v>
      </c>
      <c r="D230" s="4" t="s">
        <v>168</v>
      </c>
      <c r="E230" s="4" t="n">
        <v>6</v>
      </c>
      <c r="F230" s="12" t="n">
        <v>8496</v>
      </c>
      <c r="G230" s="10" t="str">
        <f aca="false">IFERROR(INDEX(Mapping!$B$2:$B$100,MATCH(B230,Mapping!$A$2:$A$100,0)),"UNMATCHED")</f>
        <v>M06</v>
      </c>
    </row>
    <row r="231" customFormat="false" ht="15" hidden="false" customHeight="false" outlineLevel="0" collapsed="false">
      <c r="A231" s="4" t="s">
        <v>389</v>
      </c>
      <c r="B231" s="4" t="s">
        <v>73</v>
      </c>
      <c r="C231" s="4" t="s">
        <v>150</v>
      </c>
      <c r="D231" s="4" t="s">
        <v>151</v>
      </c>
      <c r="E231" s="4" t="n">
        <v>10</v>
      </c>
      <c r="F231" s="12" t="n">
        <v>24170</v>
      </c>
      <c r="G231" s="10" t="str">
        <f aca="false">IFERROR(INDEX(Mapping!$B$2:$B$100,MATCH(B231,Mapping!$A$2:$A$100,0)),"UNMATCHED")</f>
        <v>M06</v>
      </c>
    </row>
    <row r="232" customFormat="false" ht="15" hidden="false" customHeight="false" outlineLevel="0" collapsed="false">
      <c r="A232" s="4" t="s">
        <v>390</v>
      </c>
      <c r="B232" s="4" t="s">
        <v>77</v>
      </c>
      <c r="C232" s="4" t="s">
        <v>153</v>
      </c>
      <c r="D232" s="4" t="s">
        <v>165</v>
      </c>
      <c r="E232" s="4" t="n">
        <v>4</v>
      </c>
      <c r="F232" s="12" t="n">
        <v>7156</v>
      </c>
      <c r="G232" s="10" t="str">
        <f aca="false">IFERROR(INDEX(Mapping!$B$2:$B$100,MATCH(B232,Mapping!$A$2:$A$100,0)),"UNMATCHED")</f>
        <v>M06</v>
      </c>
    </row>
    <row r="233" customFormat="false" ht="15" hidden="false" customHeight="false" outlineLevel="0" collapsed="false">
      <c r="A233" s="4" t="s">
        <v>391</v>
      </c>
      <c r="B233" s="4" t="s">
        <v>73</v>
      </c>
      <c r="C233" s="4" t="s">
        <v>156</v>
      </c>
      <c r="D233" s="4" t="s">
        <v>165</v>
      </c>
      <c r="E233" s="4" t="n">
        <v>12</v>
      </c>
      <c r="F233" s="12" t="n">
        <v>19176</v>
      </c>
      <c r="G233" s="10" t="str">
        <f aca="false">IFERROR(INDEX(Mapping!$B$2:$B$100,MATCH(B233,Mapping!$A$2:$A$100,0)),"UNMATCHED")</f>
        <v>M06</v>
      </c>
    </row>
    <row r="234" customFormat="false" ht="15" hidden="false" customHeight="false" outlineLevel="0" collapsed="false">
      <c r="A234" s="4" t="s">
        <v>392</v>
      </c>
      <c r="B234" s="4" t="s">
        <v>77</v>
      </c>
      <c r="C234" s="4" t="s">
        <v>150</v>
      </c>
      <c r="D234" s="4" t="s">
        <v>168</v>
      </c>
      <c r="E234" s="4" t="n">
        <v>2</v>
      </c>
      <c r="F234" s="12" t="n">
        <v>5172</v>
      </c>
      <c r="G234" s="10" t="str">
        <f aca="false">IFERROR(INDEX(Mapping!$B$2:$B$100,MATCH(B234,Mapping!$A$2:$A$100,0)),"UNMATCHED")</f>
        <v>M06</v>
      </c>
    </row>
    <row r="235" customFormat="false" ht="15" hidden="false" customHeight="false" outlineLevel="0" collapsed="false">
      <c r="A235" s="4" t="s">
        <v>393</v>
      </c>
      <c r="B235" s="4" t="s">
        <v>80</v>
      </c>
      <c r="C235" s="4" t="s">
        <v>150</v>
      </c>
      <c r="D235" s="4" t="s">
        <v>168</v>
      </c>
      <c r="E235" s="4" t="n">
        <v>2</v>
      </c>
      <c r="F235" s="12" t="n">
        <v>4008</v>
      </c>
      <c r="G235" s="10" t="str">
        <f aca="false">IFERROR(INDEX(Mapping!$B$2:$B$100,MATCH(B235,Mapping!$A$2:$A$100,0)),"UNMATCHED")</f>
        <v>M07</v>
      </c>
    </row>
    <row r="236" customFormat="false" ht="15" hidden="false" customHeight="false" outlineLevel="0" collapsed="false">
      <c r="A236" s="4" t="s">
        <v>394</v>
      </c>
      <c r="B236" s="4" t="s">
        <v>80</v>
      </c>
      <c r="C236" s="4" t="s">
        <v>170</v>
      </c>
      <c r="D236" s="4" t="s">
        <v>175</v>
      </c>
      <c r="E236" s="4" t="n">
        <v>4</v>
      </c>
      <c r="F236" s="12" t="n">
        <v>7244</v>
      </c>
      <c r="G236" s="10" t="str">
        <f aca="false">IFERROR(INDEX(Mapping!$B$2:$B$100,MATCH(B236,Mapping!$A$2:$A$100,0)),"UNMATCHED")</f>
        <v>M07</v>
      </c>
    </row>
    <row r="237" customFormat="false" ht="15" hidden="false" customHeight="false" outlineLevel="0" collapsed="false">
      <c r="A237" s="4" t="s">
        <v>395</v>
      </c>
      <c r="B237" s="4" t="s">
        <v>80</v>
      </c>
      <c r="C237" s="4" t="s">
        <v>150</v>
      </c>
      <c r="D237" s="4" t="s">
        <v>151</v>
      </c>
      <c r="E237" s="4" t="n">
        <v>10</v>
      </c>
      <c r="F237" s="12" t="n">
        <v>24270</v>
      </c>
      <c r="G237" s="10" t="str">
        <f aca="false">IFERROR(INDEX(Mapping!$B$2:$B$100,MATCH(B237,Mapping!$A$2:$A$100,0)),"UNMATCHED")</f>
        <v>M07</v>
      </c>
    </row>
    <row r="238" customFormat="false" ht="15" hidden="false" customHeight="false" outlineLevel="0" collapsed="false">
      <c r="A238" s="4" t="s">
        <v>396</v>
      </c>
      <c r="B238" s="4" t="s">
        <v>80</v>
      </c>
      <c r="C238" s="4" t="s">
        <v>150</v>
      </c>
      <c r="D238" s="4" t="s">
        <v>154</v>
      </c>
      <c r="E238" s="4" t="n">
        <v>8</v>
      </c>
      <c r="F238" s="12" t="n">
        <v>16032</v>
      </c>
      <c r="G238" s="10" t="str">
        <f aca="false">IFERROR(INDEX(Mapping!$B$2:$B$100,MATCH(B238,Mapping!$A$2:$A$100,0)),"UNMATCHED")</f>
        <v>M07</v>
      </c>
    </row>
    <row r="239" customFormat="false" ht="15" hidden="false" customHeight="false" outlineLevel="0" collapsed="false">
      <c r="A239" s="4" t="s">
        <v>397</v>
      </c>
      <c r="B239" s="4" t="s">
        <v>80</v>
      </c>
      <c r="C239" s="4" t="s">
        <v>170</v>
      </c>
      <c r="D239" s="4" t="s">
        <v>168</v>
      </c>
      <c r="E239" s="4" t="n">
        <v>2</v>
      </c>
      <c r="F239" s="12" t="n">
        <v>3376</v>
      </c>
      <c r="G239" s="10" t="str">
        <f aca="false">IFERROR(INDEX(Mapping!$B$2:$B$100,MATCH(B239,Mapping!$A$2:$A$100,0)),"UNMATCHED")</f>
        <v>M07</v>
      </c>
    </row>
    <row r="240" customFormat="false" ht="15" hidden="false" customHeight="false" outlineLevel="0" collapsed="false">
      <c r="A240" s="4" t="s">
        <v>398</v>
      </c>
      <c r="B240" s="4" t="s">
        <v>80</v>
      </c>
      <c r="C240" s="4" t="s">
        <v>156</v>
      </c>
      <c r="D240" s="4" t="s">
        <v>163</v>
      </c>
      <c r="E240" s="4" t="n">
        <v>10</v>
      </c>
      <c r="F240" s="12" t="n">
        <v>21490</v>
      </c>
      <c r="G240" s="10" t="str">
        <f aca="false">IFERROR(INDEX(Mapping!$B$2:$B$100,MATCH(B240,Mapping!$A$2:$A$100,0)),"UNMATCHED")</f>
        <v>M07</v>
      </c>
    </row>
    <row r="241" customFormat="false" ht="15" hidden="false" customHeight="false" outlineLevel="0" collapsed="false">
      <c r="A241" s="4" t="s">
        <v>399</v>
      </c>
      <c r="B241" s="4" t="s">
        <v>80</v>
      </c>
      <c r="C241" s="4" t="s">
        <v>156</v>
      </c>
      <c r="D241" s="4" t="s">
        <v>163</v>
      </c>
      <c r="E241" s="4" t="n">
        <v>6</v>
      </c>
      <c r="F241" s="12" t="n">
        <v>14988</v>
      </c>
      <c r="G241" s="10" t="str">
        <f aca="false">IFERROR(INDEX(Mapping!$B$2:$B$100,MATCH(B241,Mapping!$A$2:$A$100,0)),"UNMATCHED")</f>
        <v>M07</v>
      </c>
    </row>
    <row r="242" customFormat="false" ht="15" hidden="false" customHeight="false" outlineLevel="0" collapsed="false">
      <c r="A242" s="4" t="s">
        <v>400</v>
      </c>
      <c r="B242" s="4" t="s">
        <v>80</v>
      </c>
      <c r="C242" s="4" t="s">
        <v>153</v>
      </c>
      <c r="D242" s="4" t="s">
        <v>163</v>
      </c>
      <c r="E242" s="4" t="n">
        <v>12</v>
      </c>
      <c r="F242" s="12" t="n">
        <v>23232</v>
      </c>
      <c r="G242" s="10" t="str">
        <f aca="false">IFERROR(INDEX(Mapping!$B$2:$B$100,MATCH(B242,Mapping!$A$2:$A$100,0)),"UNMATCHED")</f>
        <v>M07</v>
      </c>
    </row>
    <row r="243" customFormat="false" ht="15" hidden="false" customHeight="false" outlineLevel="0" collapsed="false">
      <c r="A243" s="4" t="s">
        <v>401</v>
      </c>
      <c r="B243" s="4" t="s">
        <v>80</v>
      </c>
      <c r="C243" s="4" t="s">
        <v>159</v>
      </c>
      <c r="D243" s="4" t="s">
        <v>154</v>
      </c>
      <c r="E243" s="4" t="n">
        <v>2</v>
      </c>
      <c r="F243" s="12" t="n">
        <v>3756</v>
      </c>
      <c r="G243" s="10" t="str">
        <f aca="false">IFERROR(INDEX(Mapping!$B$2:$B$100,MATCH(B243,Mapping!$A$2:$A$100,0)),"UNMATCHED")</f>
        <v>M07</v>
      </c>
    </row>
    <row r="244" customFormat="false" ht="15" hidden="false" customHeight="false" outlineLevel="0" collapsed="false">
      <c r="A244" s="4" t="s">
        <v>402</v>
      </c>
      <c r="B244" s="4" t="s">
        <v>80</v>
      </c>
      <c r="C244" s="4" t="s">
        <v>156</v>
      </c>
      <c r="D244" s="4" t="s">
        <v>168</v>
      </c>
      <c r="E244" s="4" t="n">
        <v>10</v>
      </c>
      <c r="F244" s="12" t="n">
        <v>18530</v>
      </c>
      <c r="G244" s="10" t="str">
        <f aca="false">IFERROR(INDEX(Mapping!$B$2:$B$100,MATCH(B244,Mapping!$A$2:$A$100,0)),"UNMATCHED")</f>
        <v>M07</v>
      </c>
    </row>
    <row r="245" customFormat="false" ht="15" hidden="false" customHeight="false" outlineLevel="0" collapsed="false">
      <c r="A245" s="4" t="s">
        <v>403</v>
      </c>
      <c r="B245" s="4" t="s">
        <v>80</v>
      </c>
      <c r="C245" s="4" t="s">
        <v>159</v>
      </c>
      <c r="D245" s="4" t="s">
        <v>154</v>
      </c>
      <c r="E245" s="4" t="n">
        <v>12</v>
      </c>
      <c r="F245" s="12" t="n">
        <v>24216</v>
      </c>
      <c r="G245" s="10" t="str">
        <f aca="false">IFERROR(INDEX(Mapping!$B$2:$B$100,MATCH(B245,Mapping!$A$2:$A$100,0)),"UNMATCHED")</f>
        <v>M07</v>
      </c>
    </row>
    <row r="246" customFormat="false" ht="15" hidden="false" customHeight="false" outlineLevel="0" collapsed="false">
      <c r="A246" s="4" t="s">
        <v>404</v>
      </c>
      <c r="B246" s="4" t="s">
        <v>80</v>
      </c>
      <c r="C246" s="4" t="s">
        <v>150</v>
      </c>
      <c r="D246" s="4" t="s">
        <v>163</v>
      </c>
      <c r="E246" s="4" t="n">
        <v>2</v>
      </c>
      <c r="F246" s="12" t="n">
        <v>2952</v>
      </c>
      <c r="G246" s="10" t="str">
        <f aca="false">IFERROR(INDEX(Mapping!$B$2:$B$100,MATCH(B246,Mapping!$A$2:$A$100,0)),"UNMATCHED")</f>
        <v>M07</v>
      </c>
    </row>
    <row r="247" customFormat="false" ht="15" hidden="false" customHeight="false" outlineLevel="0" collapsed="false">
      <c r="A247" s="4" t="s">
        <v>405</v>
      </c>
      <c r="B247" s="4" t="s">
        <v>80</v>
      </c>
      <c r="C247" s="4" t="s">
        <v>153</v>
      </c>
      <c r="D247" s="4" t="s">
        <v>151</v>
      </c>
      <c r="E247" s="4" t="n">
        <v>2</v>
      </c>
      <c r="F247" s="12" t="n">
        <v>3760</v>
      </c>
      <c r="G247" s="10" t="str">
        <f aca="false">IFERROR(INDEX(Mapping!$B$2:$B$100,MATCH(B247,Mapping!$A$2:$A$100,0)),"UNMATCHED")</f>
        <v>M07</v>
      </c>
    </row>
    <row r="248" customFormat="false" ht="15" hidden="false" customHeight="false" outlineLevel="0" collapsed="false">
      <c r="A248" s="4" t="s">
        <v>406</v>
      </c>
      <c r="B248" s="4" t="s">
        <v>80</v>
      </c>
      <c r="C248" s="4" t="s">
        <v>153</v>
      </c>
      <c r="D248" s="4" t="s">
        <v>163</v>
      </c>
      <c r="E248" s="4" t="n">
        <v>8</v>
      </c>
      <c r="F248" s="12" t="n">
        <v>17272</v>
      </c>
      <c r="G248" s="10" t="str">
        <f aca="false">IFERROR(INDEX(Mapping!$B$2:$B$100,MATCH(B248,Mapping!$A$2:$A$100,0)),"UNMATCHED")</f>
        <v>M07</v>
      </c>
    </row>
    <row r="249" customFormat="false" ht="15" hidden="false" customHeight="false" outlineLevel="0" collapsed="false">
      <c r="A249" s="4" t="s">
        <v>407</v>
      </c>
      <c r="B249" s="4" t="s">
        <v>80</v>
      </c>
      <c r="C249" s="4" t="s">
        <v>159</v>
      </c>
      <c r="D249" s="4" t="s">
        <v>175</v>
      </c>
      <c r="E249" s="4" t="n">
        <v>8</v>
      </c>
      <c r="F249" s="12" t="n">
        <v>12816</v>
      </c>
      <c r="G249" s="10" t="str">
        <f aca="false">IFERROR(INDEX(Mapping!$B$2:$B$100,MATCH(B249,Mapping!$A$2:$A$100,0)),"UNMATCHED")</f>
        <v>M07</v>
      </c>
    </row>
    <row r="250" customFormat="false" ht="15" hidden="false" customHeight="false" outlineLevel="0" collapsed="false">
      <c r="A250" s="4" t="s">
        <v>408</v>
      </c>
      <c r="B250" s="4" t="s">
        <v>80</v>
      </c>
      <c r="C250" s="4" t="s">
        <v>150</v>
      </c>
      <c r="D250" s="4" t="s">
        <v>151</v>
      </c>
      <c r="E250" s="4" t="n">
        <v>6</v>
      </c>
      <c r="F250" s="12" t="n">
        <v>8802</v>
      </c>
      <c r="G250" s="10" t="str">
        <f aca="false">IFERROR(INDEX(Mapping!$B$2:$B$100,MATCH(B250,Mapping!$A$2:$A$100,0)),"UNMATCHED")</f>
        <v>M07</v>
      </c>
    </row>
    <row r="251" customFormat="false" ht="15" hidden="false" customHeight="false" outlineLevel="0" collapsed="false">
      <c r="A251" s="4" t="s">
        <v>409</v>
      </c>
      <c r="B251" s="4" t="s">
        <v>80</v>
      </c>
      <c r="C251" s="4" t="s">
        <v>150</v>
      </c>
      <c r="D251" s="4" t="s">
        <v>154</v>
      </c>
      <c r="E251" s="4" t="n">
        <v>8</v>
      </c>
      <c r="F251" s="12" t="n">
        <v>15064</v>
      </c>
      <c r="G251" s="10" t="str">
        <f aca="false">IFERROR(INDEX(Mapping!$B$2:$B$100,MATCH(B251,Mapping!$A$2:$A$100,0)),"UNMATCHED")</f>
        <v>M07</v>
      </c>
    </row>
    <row r="252" customFormat="false" ht="15" hidden="false" customHeight="false" outlineLevel="0" collapsed="false">
      <c r="A252" s="4" t="s">
        <v>410</v>
      </c>
      <c r="B252" s="4" t="s">
        <v>80</v>
      </c>
      <c r="C252" s="4" t="s">
        <v>156</v>
      </c>
      <c r="D252" s="4" t="s">
        <v>163</v>
      </c>
      <c r="E252" s="4" t="n">
        <v>10</v>
      </c>
      <c r="F252" s="12" t="n">
        <v>21340</v>
      </c>
      <c r="G252" s="10" t="str">
        <f aca="false">IFERROR(INDEX(Mapping!$B$2:$B$100,MATCH(B252,Mapping!$A$2:$A$100,0)),"UNMATCHED")</f>
        <v>M07</v>
      </c>
    </row>
    <row r="253" customFormat="false" ht="15" hidden="false" customHeight="false" outlineLevel="0" collapsed="false">
      <c r="A253" s="4" t="s">
        <v>411</v>
      </c>
      <c r="B253" s="4" t="s">
        <v>80</v>
      </c>
      <c r="C253" s="4" t="s">
        <v>159</v>
      </c>
      <c r="D253" s="4" t="s">
        <v>154</v>
      </c>
      <c r="E253" s="4" t="n">
        <v>4</v>
      </c>
      <c r="F253" s="12" t="n">
        <v>6600</v>
      </c>
      <c r="G253" s="10" t="str">
        <f aca="false">IFERROR(INDEX(Mapping!$B$2:$B$100,MATCH(B253,Mapping!$A$2:$A$100,0)),"UNMATCHED")</f>
        <v>M07</v>
      </c>
    </row>
    <row r="254" customFormat="false" ht="15" hidden="false" customHeight="false" outlineLevel="0" collapsed="false">
      <c r="A254" s="4" t="s">
        <v>412</v>
      </c>
      <c r="B254" s="4" t="s">
        <v>80</v>
      </c>
      <c r="C254" s="4" t="s">
        <v>156</v>
      </c>
      <c r="D254" s="4" t="s">
        <v>165</v>
      </c>
      <c r="E254" s="4" t="n">
        <v>12</v>
      </c>
      <c r="F254" s="12" t="n">
        <v>17316</v>
      </c>
      <c r="G254" s="10" t="str">
        <f aca="false">IFERROR(INDEX(Mapping!$B$2:$B$100,MATCH(B254,Mapping!$A$2:$A$100,0)),"UNMATCHED")</f>
        <v>M07</v>
      </c>
    </row>
    <row r="255" customFormat="false" ht="15" hidden="false" customHeight="false" outlineLevel="0" collapsed="false">
      <c r="A255" s="4" t="s">
        <v>413</v>
      </c>
      <c r="B255" s="4" t="s">
        <v>80</v>
      </c>
      <c r="C255" s="4" t="s">
        <v>170</v>
      </c>
      <c r="D255" s="4" t="s">
        <v>154</v>
      </c>
      <c r="E255" s="4" t="n">
        <v>4</v>
      </c>
      <c r="F255" s="12" t="n">
        <v>10224</v>
      </c>
      <c r="G255" s="10" t="str">
        <f aca="false">IFERROR(INDEX(Mapping!$B$2:$B$100,MATCH(B255,Mapping!$A$2:$A$100,0)),"UNMATCHED")</f>
        <v>M07</v>
      </c>
    </row>
    <row r="256" customFormat="false" ht="15" hidden="false" customHeight="false" outlineLevel="0" collapsed="false">
      <c r="A256" s="4" t="s">
        <v>414</v>
      </c>
      <c r="B256" s="4" t="s">
        <v>80</v>
      </c>
      <c r="C256" s="4" t="s">
        <v>170</v>
      </c>
      <c r="D256" s="4" t="s">
        <v>165</v>
      </c>
      <c r="E256" s="4" t="n">
        <v>10</v>
      </c>
      <c r="F256" s="12" t="n">
        <v>18420</v>
      </c>
      <c r="G256" s="10" t="str">
        <f aca="false">IFERROR(INDEX(Mapping!$B$2:$B$100,MATCH(B256,Mapping!$A$2:$A$100,0)),"UNMATCHED")</f>
        <v>M07</v>
      </c>
    </row>
    <row r="257" customFormat="false" ht="15" hidden="false" customHeight="false" outlineLevel="0" collapsed="false">
      <c r="A257" s="4" t="s">
        <v>415</v>
      </c>
      <c r="B257" s="4" t="s">
        <v>80</v>
      </c>
      <c r="C257" s="4" t="s">
        <v>150</v>
      </c>
      <c r="D257" s="4" t="s">
        <v>151</v>
      </c>
      <c r="E257" s="4" t="n">
        <v>10</v>
      </c>
      <c r="F257" s="12" t="n">
        <v>14050</v>
      </c>
      <c r="G257" s="10" t="str">
        <f aca="false">IFERROR(INDEX(Mapping!$B$2:$B$100,MATCH(B257,Mapping!$A$2:$A$100,0)),"UNMATCHED")</f>
        <v>M07</v>
      </c>
    </row>
    <row r="258" customFormat="false" ht="15" hidden="false" customHeight="false" outlineLevel="0" collapsed="false">
      <c r="A258" s="4" t="s">
        <v>416</v>
      </c>
      <c r="B258" s="4" t="s">
        <v>80</v>
      </c>
      <c r="C258" s="4" t="s">
        <v>170</v>
      </c>
      <c r="D258" s="4" t="s">
        <v>154</v>
      </c>
      <c r="E258" s="4" t="n">
        <v>10</v>
      </c>
      <c r="F258" s="12" t="n">
        <v>19130</v>
      </c>
      <c r="G258" s="10" t="str">
        <f aca="false">IFERROR(INDEX(Mapping!$B$2:$B$100,MATCH(B258,Mapping!$A$2:$A$100,0)),"UNMATCHED")</f>
        <v>M07</v>
      </c>
    </row>
    <row r="259" customFormat="false" ht="15" hidden="false" customHeight="false" outlineLevel="0" collapsed="false">
      <c r="A259" s="4" t="s">
        <v>417</v>
      </c>
      <c r="B259" s="4" t="s">
        <v>80</v>
      </c>
      <c r="C259" s="4" t="s">
        <v>150</v>
      </c>
      <c r="D259" s="4" t="s">
        <v>151</v>
      </c>
      <c r="E259" s="4" t="n">
        <v>4</v>
      </c>
      <c r="F259" s="12" t="n">
        <v>5720</v>
      </c>
      <c r="G259" s="10" t="str">
        <f aca="false">IFERROR(INDEX(Mapping!$B$2:$B$100,MATCH(B259,Mapping!$A$2:$A$100,0)),"UNMATCHED")</f>
        <v>M07</v>
      </c>
    </row>
    <row r="260" customFormat="false" ht="15" hidden="false" customHeight="false" outlineLevel="0" collapsed="false">
      <c r="A260" s="4" t="s">
        <v>418</v>
      </c>
      <c r="B260" s="4" t="s">
        <v>80</v>
      </c>
      <c r="C260" s="4" t="s">
        <v>150</v>
      </c>
      <c r="D260" s="4" t="s">
        <v>154</v>
      </c>
      <c r="E260" s="4" t="n">
        <v>2</v>
      </c>
      <c r="F260" s="12" t="n">
        <v>3512</v>
      </c>
      <c r="G260" s="10" t="str">
        <f aca="false">IFERROR(INDEX(Mapping!$B$2:$B$100,MATCH(B260,Mapping!$A$2:$A$100,0)),"UNMATCHED")</f>
        <v>M07</v>
      </c>
    </row>
    <row r="261" customFormat="false" ht="15" hidden="false" customHeight="false" outlineLevel="0" collapsed="false">
      <c r="A261" s="4" t="s">
        <v>419</v>
      </c>
      <c r="B261" s="4" t="s">
        <v>80</v>
      </c>
      <c r="C261" s="4" t="s">
        <v>153</v>
      </c>
      <c r="D261" s="4" t="s">
        <v>154</v>
      </c>
      <c r="E261" s="4" t="n">
        <v>12</v>
      </c>
      <c r="F261" s="12" t="n">
        <v>27144</v>
      </c>
      <c r="G261" s="10" t="str">
        <f aca="false">IFERROR(INDEX(Mapping!$B$2:$B$100,MATCH(B261,Mapping!$A$2:$A$100,0)),"UNMATCHED")</f>
        <v>M07</v>
      </c>
    </row>
    <row r="262" customFormat="false" ht="15" hidden="false" customHeight="false" outlineLevel="0" collapsed="false">
      <c r="A262" s="4" t="s">
        <v>420</v>
      </c>
      <c r="B262" s="4" t="s">
        <v>80</v>
      </c>
      <c r="C262" s="4" t="s">
        <v>150</v>
      </c>
      <c r="D262" s="4" t="s">
        <v>175</v>
      </c>
      <c r="E262" s="4" t="n">
        <v>8</v>
      </c>
      <c r="F262" s="12" t="n">
        <v>18544</v>
      </c>
      <c r="G262" s="10" t="str">
        <f aca="false">IFERROR(INDEX(Mapping!$B$2:$B$100,MATCH(B262,Mapping!$A$2:$A$100,0)),"UNMATCHED")</f>
        <v>M07</v>
      </c>
    </row>
    <row r="263" customFormat="false" ht="15" hidden="false" customHeight="false" outlineLevel="0" collapsed="false">
      <c r="A263" s="4" t="s">
        <v>421</v>
      </c>
      <c r="B263" s="4" t="s">
        <v>80</v>
      </c>
      <c r="C263" s="4" t="s">
        <v>170</v>
      </c>
      <c r="D263" s="4" t="s">
        <v>175</v>
      </c>
      <c r="E263" s="4" t="n">
        <v>8</v>
      </c>
      <c r="F263" s="12" t="n">
        <v>19448</v>
      </c>
      <c r="G263" s="10" t="str">
        <f aca="false">IFERROR(INDEX(Mapping!$B$2:$B$100,MATCH(B263,Mapping!$A$2:$A$100,0)),"UNMATCHED")</f>
        <v>M07</v>
      </c>
    </row>
    <row r="264" customFormat="false" ht="15" hidden="false" customHeight="false" outlineLevel="0" collapsed="false">
      <c r="A264" s="4" t="s">
        <v>422</v>
      </c>
      <c r="B264" s="4" t="s">
        <v>80</v>
      </c>
      <c r="C264" s="4" t="s">
        <v>150</v>
      </c>
      <c r="D264" s="4" t="s">
        <v>163</v>
      </c>
      <c r="E264" s="4" t="n">
        <v>12</v>
      </c>
      <c r="F264" s="12" t="n">
        <v>29604</v>
      </c>
      <c r="G264" s="10" t="str">
        <f aca="false">IFERROR(INDEX(Mapping!$B$2:$B$100,MATCH(B264,Mapping!$A$2:$A$100,0)),"UNMATCHED")</f>
        <v>M07</v>
      </c>
    </row>
    <row r="265" customFormat="false" ht="15" hidden="false" customHeight="false" outlineLevel="0" collapsed="false">
      <c r="A265" s="4" t="s">
        <v>423</v>
      </c>
      <c r="B265" s="4" t="s">
        <v>80</v>
      </c>
      <c r="C265" s="4" t="s">
        <v>159</v>
      </c>
      <c r="D265" s="4" t="s">
        <v>163</v>
      </c>
      <c r="E265" s="4" t="n">
        <v>2</v>
      </c>
      <c r="F265" s="12" t="n">
        <v>4760</v>
      </c>
      <c r="G265" s="10" t="str">
        <f aca="false">IFERROR(INDEX(Mapping!$B$2:$B$100,MATCH(B265,Mapping!$A$2:$A$100,0)),"UNMATCHED")</f>
        <v>M07</v>
      </c>
    </row>
    <row r="266" customFormat="false" ht="15" hidden="false" customHeight="false" outlineLevel="0" collapsed="false">
      <c r="A266" s="4" t="s">
        <v>424</v>
      </c>
      <c r="B266" s="4" t="s">
        <v>80</v>
      </c>
      <c r="C266" s="4" t="s">
        <v>156</v>
      </c>
      <c r="D266" s="4" t="s">
        <v>154</v>
      </c>
      <c r="E266" s="4" t="n">
        <v>8</v>
      </c>
      <c r="F266" s="12" t="n">
        <v>18464</v>
      </c>
      <c r="G266" s="10" t="str">
        <f aca="false">IFERROR(INDEX(Mapping!$B$2:$B$100,MATCH(B266,Mapping!$A$2:$A$100,0)),"UNMATCHED")</f>
        <v>M07</v>
      </c>
    </row>
    <row r="267" customFormat="false" ht="15" hidden="false" customHeight="false" outlineLevel="0" collapsed="false">
      <c r="A267" s="4" t="s">
        <v>425</v>
      </c>
      <c r="B267" s="4" t="s">
        <v>80</v>
      </c>
      <c r="C267" s="4" t="s">
        <v>156</v>
      </c>
      <c r="D267" s="4" t="s">
        <v>151</v>
      </c>
      <c r="E267" s="4" t="n">
        <v>10</v>
      </c>
      <c r="F267" s="12" t="n">
        <v>17030</v>
      </c>
      <c r="G267" s="10" t="str">
        <f aca="false">IFERROR(INDEX(Mapping!$B$2:$B$100,MATCH(B267,Mapping!$A$2:$A$100,0)),"UNMATCHED")</f>
        <v>M07</v>
      </c>
    </row>
    <row r="268" customFormat="false" ht="15" hidden="false" customHeight="false" outlineLevel="0" collapsed="false">
      <c r="A268" s="4" t="s">
        <v>426</v>
      </c>
      <c r="B268" s="4" t="s">
        <v>80</v>
      </c>
      <c r="C268" s="4" t="s">
        <v>153</v>
      </c>
      <c r="D268" s="4" t="s">
        <v>168</v>
      </c>
      <c r="E268" s="4" t="n">
        <v>10</v>
      </c>
      <c r="F268" s="12" t="n">
        <v>25980</v>
      </c>
      <c r="G268" s="10" t="str">
        <f aca="false">IFERROR(INDEX(Mapping!$B$2:$B$100,MATCH(B268,Mapping!$A$2:$A$100,0)),"UNMATCHED")</f>
        <v>M07</v>
      </c>
    </row>
    <row r="269" customFormat="false" ht="15" hidden="false" customHeight="false" outlineLevel="0" collapsed="false">
      <c r="A269" s="4" t="s">
        <v>427</v>
      </c>
      <c r="B269" s="4" t="s">
        <v>80</v>
      </c>
      <c r="C269" s="4" t="s">
        <v>150</v>
      </c>
      <c r="D269" s="4" t="s">
        <v>163</v>
      </c>
      <c r="E269" s="4" t="n">
        <v>8</v>
      </c>
      <c r="F269" s="12" t="n">
        <v>19888</v>
      </c>
      <c r="G269" s="10" t="str">
        <f aca="false">IFERROR(INDEX(Mapping!$B$2:$B$100,MATCH(B269,Mapping!$A$2:$A$100,0)),"UNMATCHED")</f>
        <v>M07</v>
      </c>
    </row>
    <row r="270" customFormat="false" ht="15" hidden="false" customHeight="false" outlineLevel="0" collapsed="false">
      <c r="A270" s="4" t="s">
        <v>428</v>
      </c>
      <c r="B270" s="4" t="s">
        <v>80</v>
      </c>
      <c r="C270" s="4" t="s">
        <v>153</v>
      </c>
      <c r="D270" s="4" t="s">
        <v>168</v>
      </c>
      <c r="E270" s="4" t="n">
        <v>2</v>
      </c>
      <c r="F270" s="12" t="n">
        <v>3268</v>
      </c>
      <c r="G270" s="10" t="str">
        <f aca="false">IFERROR(INDEX(Mapping!$B$2:$B$100,MATCH(B270,Mapping!$A$2:$A$100,0)),"UNMATCHED")</f>
        <v>M07</v>
      </c>
    </row>
    <row r="271" customFormat="false" ht="15" hidden="false" customHeight="false" outlineLevel="0" collapsed="false">
      <c r="A271" s="4" t="s">
        <v>429</v>
      </c>
      <c r="B271" s="4" t="s">
        <v>83</v>
      </c>
      <c r="C271" s="4" t="s">
        <v>170</v>
      </c>
      <c r="D271" s="4" t="s">
        <v>163</v>
      </c>
      <c r="E271" s="4" t="n">
        <v>8</v>
      </c>
      <c r="F271" s="12" t="n">
        <v>18592</v>
      </c>
      <c r="G271" s="10" t="str">
        <f aca="false">IFERROR(INDEX(Mapping!$B$2:$B$100,MATCH(B271,Mapping!$A$2:$A$100,0)),"UNMATCHED")</f>
        <v>M08</v>
      </c>
    </row>
    <row r="272" customFormat="false" ht="15" hidden="false" customHeight="false" outlineLevel="0" collapsed="false">
      <c r="A272" s="4" t="s">
        <v>430</v>
      </c>
      <c r="B272" s="4" t="s">
        <v>83</v>
      </c>
      <c r="C272" s="4" t="s">
        <v>159</v>
      </c>
      <c r="D272" s="4" t="s">
        <v>168</v>
      </c>
      <c r="E272" s="4" t="n">
        <v>8</v>
      </c>
      <c r="F272" s="12" t="n">
        <v>17728</v>
      </c>
      <c r="G272" s="10" t="str">
        <f aca="false">IFERROR(INDEX(Mapping!$B$2:$B$100,MATCH(B272,Mapping!$A$2:$A$100,0)),"UNMATCHED")</f>
        <v>M08</v>
      </c>
    </row>
    <row r="273" customFormat="false" ht="15" hidden="false" customHeight="false" outlineLevel="0" collapsed="false">
      <c r="A273" s="4" t="s">
        <v>431</v>
      </c>
      <c r="B273" s="4" t="s">
        <v>83</v>
      </c>
      <c r="C273" s="4" t="s">
        <v>150</v>
      </c>
      <c r="D273" s="4" t="s">
        <v>168</v>
      </c>
      <c r="E273" s="4" t="n">
        <v>6</v>
      </c>
      <c r="F273" s="12" t="n">
        <v>13644</v>
      </c>
      <c r="G273" s="10" t="str">
        <f aca="false">IFERROR(INDEX(Mapping!$B$2:$B$100,MATCH(B273,Mapping!$A$2:$A$100,0)),"UNMATCHED")</f>
        <v>M08</v>
      </c>
    </row>
    <row r="274" customFormat="false" ht="15" hidden="false" customHeight="false" outlineLevel="0" collapsed="false">
      <c r="A274" s="4" t="s">
        <v>432</v>
      </c>
      <c r="B274" s="4" t="s">
        <v>83</v>
      </c>
      <c r="C274" s="4" t="s">
        <v>159</v>
      </c>
      <c r="D274" s="4" t="s">
        <v>154</v>
      </c>
      <c r="E274" s="4" t="n">
        <v>6</v>
      </c>
      <c r="F274" s="12" t="n">
        <v>10272</v>
      </c>
      <c r="G274" s="10" t="str">
        <f aca="false">IFERROR(INDEX(Mapping!$B$2:$B$100,MATCH(B274,Mapping!$A$2:$A$100,0)),"UNMATCHED")</f>
        <v>M08</v>
      </c>
    </row>
    <row r="275" customFormat="false" ht="15" hidden="false" customHeight="false" outlineLevel="0" collapsed="false">
      <c r="A275" s="4" t="s">
        <v>433</v>
      </c>
      <c r="B275" s="4" t="s">
        <v>83</v>
      </c>
      <c r="C275" s="4" t="s">
        <v>159</v>
      </c>
      <c r="D275" s="4" t="s">
        <v>154</v>
      </c>
      <c r="E275" s="4" t="n">
        <v>2</v>
      </c>
      <c r="F275" s="12" t="n">
        <v>3180</v>
      </c>
      <c r="G275" s="10" t="str">
        <f aca="false">IFERROR(INDEX(Mapping!$B$2:$B$100,MATCH(B275,Mapping!$A$2:$A$100,0)),"UNMATCHED")</f>
        <v>M08</v>
      </c>
    </row>
    <row r="276" customFormat="false" ht="15" hidden="false" customHeight="false" outlineLevel="0" collapsed="false">
      <c r="A276" s="4" t="s">
        <v>434</v>
      </c>
      <c r="B276" s="4" t="s">
        <v>83</v>
      </c>
      <c r="C276" s="4" t="s">
        <v>156</v>
      </c>
      <c r="D276" s="4" t="s">
        <v>175</v>
      </c>
      <c r="E276" s="4" t="n">
        <v>4</v>
      </c>
      <c r="F276" s="12" t="n">
        <v>10156</v>
      </c>
      <c r="G276" s="10" t="str">
        <f aca="false">IFERROR(INDEX(Mapping!$B$2:$B$100,MATCH(B276,Mapping!$A$2:$A$100,0)),"UNMATCHED")</f>
        <v>M08</v>
      </c>
    </row>
    <row r="277" customFormat="false" ht="15" hidden="false" customHeight="false" outlineLevel="0" collapsed="false">
      <c r="A277" s="4" t="s">
        <v>435</v>
      </c>
      <c r="B277" s="4" t="s">
        <v>83</v>
      </c>
      <c r="C277" s="4" t="s">
        <v>159</v>
      </c>
      <c r="D277" s="4" t="s">
        <v>165</v>
      </c>
      <c r="E277" s="4" t="n">
        <v>12</v>
      </c>
      <c r="F277" s="12" t="n">
        <v>19800</v>
      </c>
      <c r="G277" s="10" t="str">
        <f aca="false">IFERROR(INDEX(Mapping!$B$2:$B$100,MATCH(B277,Mapping!$A$2:$A$100,0)),"UNMATCHED")</f>
        <v>M08</v>
      </c>
    </row>
    <row r="278" customFormat="false" ht="15" hidden="false" customHeight="false" outlineLevel="0" collapsed="false">
      <c r="A278" s="4" t="s">
        <v>436</v>
      </c>
      <c r="B278" s="4" t="s">
        <v>83</v>
      </c>
      <c r="C278" s="4" t="s">
        <v>150</v>
      </c>
      <c r="D278" s="4" t="s">
        <v>175</v>
      </c>
      <c r="E278" s="4" t="n">
        <v>12</v>
      </c>
      <c r="F278" s="12" t="n">
        <v>18060</v>
      </c>
      <c r="G278" s="10" t="str">
        <f aca="false">IFERROR(INDEX(Mapping!$B$2:$B$100,MATCH(B278,Mapping!$A$2:$A$100,0)),"UNMATCHED")</f>
        <v>M08</v>
      </c>
    </row>
    <row r="279" customFormat="false" ht="15" hidden="false" customHeight="false" outlineLevel="0" collapsed="false">
      <c r="A279" s="4" t="s">
        <v>437</v>
      </c>
      <c r="B279" s="4" t="s">
        <v>83</v>
      </c>
      <c r="C279" s="4" t="s">
        <v>153</v>
      </c>
      <c r="D279" s="4" t="s">
        <v>175</v>
      </c>
      <c r="E279" s="4" t="n">
        <v>6</v>
      </c>
      <c r="F279" s="12" t="n">
        <v>9672</v>
      </c>
      <c r="G279" s="10" t="str">
        <f aca="false">IFERROR(INDEX(Mapping!$B$2:$B$100,MATCH(B279,Mapping!$A$2:$A$100,0)),"UNMATCHED")</f>
        <v>M08</v>
      </c>
    </row>
    <row r="280" customFormat="false" ht="15" hidden="false" customHeight="false" outlineLevel="0" collapsed="false">
      <c r="A280" s="4" t="s">
        <v>438</v>
      </c>
      <c r="B280" s="4" t="s">
        <v>83</v>
      </c>
      <c r="C280" s="4" t="s">
        <v>170</v>
      </c>
      <c r="D280" s="4" t="s">
        <v>154</v>
      </c>
      <c r="E280" s="4" t="n">
        <v>4</v>
      </c>
      <c r="F280" s="12" t="n">
        <v>9548</v>
      </c>
      <c r="G280" s="10" t="str">
        <f aca="false">IFERROR(INDEX(Mapping!$B$2:$B$100,MATCH(B280,Mapping!$A$2:$A$100,0)),"UNMATCHED")</f>
        <v>M08</v>
      </c>
    </row>
    <row r="281" customFormat="false" ht="15" hidden="false" customHeight="false" outlineLevel="0" collapsed="false">
      <c r="A281" s="4" t="s">
        <v>439</v>
      </c>
      <c r="B281" s="4" t="s">
        <v>83</v>
      </c>
      <c r="C281" s="4" t="s">
        <v>156</v>
      </c>
      <c r="D281" s="4" t="s">
        <v>165</v>
      </c>
      <c r="E281" s="4" t="n">
        <v>10</v>
      </c>
      <c r="F281" s="12" t="n">
        <v>21520</v>
      </c>
      <c r="G281" s="10" t="str">
        <f aca="false">IFERROR(INDEX(Mapping!$B$2:$B$100,MATCH(B281,Mapping!$A$2:$A$100,0)),"UNMATCHED")</f>
        <v>M08</v>
      </c>
    </row>
    <row r="282" customFormat="false" ht="15" hidden="false" customHeight="false" outlineLevel="0" collapsed="false">
      <c r="A282" s="4" t="s">
        <v>440</v>
      </c>
      <c r="B282" s="4" t="s">
        <v>83</v>
      </c>
      <c r="C282" s="4" t="s">
        <v>153</v>
      </c>
      <c r="D282" s="4" t="s">
        <v>175</v>
      </c>
      <c r="E282" s="4" t="n">
        <v>8</v>
      </c>
      <c r="F282" s="12" t="n">
        <v>20384</v>
      </c>
      <c r="G282" s="10" t="str">
        <f aca="false">IFERROR(INDEX(Mapping!$B$2:$B$100,MATCH(B282,Mapping!$A$2:$A$100,0)),"UNMATCHED")</f>
        <v>M08</v>
      </c>
    </row>
    <row r="283" customFormat="false" ht="15" hidden="false" customHeight="false" outlineLevel="0" collapsed="false">
      <c r="A283" s="4" t="s">
        <v>441</v>
      </c>
      <c r="B283" s="4" t="s">
        <v>83</v>
      </c>
      <c r="C283" s="4" t="s">
        <v>156</v>
      </c>
      <c r="D283" s="4" t="s">
        <v>151</v>
      </c>
      <c r="E283" s="4" t="n">
        <v>10</v>
      </c>
      <c r="F283" s="12" t="n">
        <v>19470</v>
      </c>
      <c r="G283" s="10" t="str">
        <f aca="false">IFERROR(INDEX(Mapping!$B$2:$B$100,MATCH(B283,Mapping!$A$2:$A$100,0)),"UNMATCHED")</f>
        <v>M08</v>
      </c>
    </row>
    <row r="284" customFormat="false" ht="15" hidden="false" customHeight="false" outlineLevel="0" collapsed="false">
      <c r="A284" s="4" t="s">
        <v>442</v>
      </c>
      <c r="B284" s="4" t="s">
        <v>83</v>
      </c>
      <c r="C284" s="4" t="s">
        <v>150</v>
      </c>
      <c r="D284" s="4" t="s">
        <v>165</v>
      </c>
      <c r="E284" s="4" t="n">
        <v>12</v>
      </c>
      <c r="F284" s="12" t="n">
        <v>24384</v>
      </c>
      <c r="G284" s="10" t="str">
        <f aca="false">IFERROR(INDEX(Mapping!$B$2:$B$100,MATCH(B284,Mapping!$A$2:$A$100,0)),"UNMATCHED")</f>
        <v>M08</v>
      </c>
    </row>
    <row r="285" customFormat="false" ht="15" hidden="false" customHeight="false" outlineLevel="0" collapsed="false">
      <c r="A285" s="4" t="s">
        <v>443</v>
      </c>
      <c r="B285" s="4" t="s">
        <v>83</v>
      </c>
      <c r="C285" s="4" t="s">
        <v>153</v>
      </c>
      <c r="D285" s="4" t="s">
        <v>168</v>
      </c>
      <c r="E285" s="4" t="n">
        <v>4</v>
      </c>
      <c r="F285" s="12" t="n">
        <v>6772</v>
      </c>
      <c r="G285" s="10" t="str">
        <f aca="false">IFERROR(INDEX(Mapping!$B$2:$B$100,MATCH(B285,Mapping!$A$2:$A$100,0)),"UNMATCHED")</f>
        <v>M08</v>
      </c>
    </row>
    <row r="286" customFormat="false" ht="15" hidden="false" customHeight="false" outlineLevel="0" collapsed="false">
      <c r="A286" s="4" t="s">
        <v>444</v>
      </c>
      <c r="B286" s="4" t="s">
        <v>83</v>
      </c>
      <c r="C286" s="4" t="s">
        <v>156</v>
      </c>
      <c r="D286" s="4" t="s">
        <v>154</v>
      </c>
      <c r="E286" s="4" t="n">
        <v>2</v>
      </c>
      <c r="F286" s="12" t="n">
        <v>3380</v>
      </c>
      <c r="G286" s="10" t="str">
        <f aca="false">IFERROR(INDEX(Mapping!$B$2:$B$100,MATCH(B286,Mapping!$A$2:$A$100,0)),"UNMATCHED")</f>
        <v>M08</v>
      </c>
    </row>
    <row r="287" customFormat="false" ht="15" hidden="false" customHeight="false" outlineLevel="0" collapsed="false">
      <c r="A287" s="4" t="s">
        <v>445</v>
      </c>
      <c r="B287" s="4" t="s">
        <v>83</v>
      </c>
      <c r="C287" s="4" t="s">
        <v>159</v>
      </c>
      <c r="D287" s="4" t="s">
        <v>165</v>
      </c>
      <c r="E287" s="4" t="n">
        <v>8</v>
      </c>
      <c r="F287" s="12" t="n">
        <v>18072</v>
      </c>
      <c r="G287" s="10" t="str">
        <f aca="false">IFERROR(INDEX(Mapping!$B$2:$B$100,MATCH(B287,Mapping!$A$2:$A$100,0)),"UNMATCHED")</f>
        <v>M08</v>
      </c>
    </row>
    <row r="288" customFormat="false" ht="15" hidden="false" customHeight="false" outlineLevel="0" collapsed="false">
      <c r="A288" s="4" t="s">
        <v>446</v>
      </c>
      <c r="B288" s="4" t="s">
        <v>83</v>
      </c>
      <c r="C288" s="4" t="s">
        <v>150</v>
      </c>
      <c r="D288" s="4" t="s">
        <v>175</v>
      </c>
      <c r="E288" s="4" t="n">
        <v>6</v>
      </c>
      <c r="F288" s="12" t="n">
        <v>12228</v>
      </c>
      <c r="G288" s="10" t="str">
        <f aca="false">IFERROR(INDEX(Mapping!$B$2:$B$100,MATCH(B288,Mapping!$A$2:$A$100,0)),"UNMATCHED")</f>
        <v>M08</v>
      </c>
    </row>
    <row r="289" customFormat="false" ht="15" hidden="false" customHeight="false" outlineLevel="0" collapsed="false">
      <c r="A289" s="4" t="s">
        <v>447</v>
      </c>
      <c r="B289" s="4" t="s">
        <v>83</v>
      </c>
      <c r="C289" s="4" t="s">
        <v>170</v>
      </c>
      <c r="D289" s="4" t="s">
        <v>175</v>
      </c>
      <c r="E289" s="4" t="n">
        <v>2</v>
      </c>
      <c r="F289" s="12" t="n">
        <v>3436</v>
      </c>
      <c r="G289" s="10" t="str">
        <f aca="false">IFERROR(INDEX(Mapping!$B$2:$B$100,MATCH(B289,Mapping!$A$2:$A$100,0)),"UNMATCHED")</f>
        <v>M08</v>
      </c>
    </row>
    <row r="290" customFormat="false" ht="15" hidden="false" customHeight="false" outlineLevel="0" collapsed="false">
      <c r="A290" s="4" t="s">
        <v>448</v>
      </c>
      <c r="B290" s="4" t="s">
        <v>83</v>
      </c>
      <c r="C290" s="4" t="s">
        <v>150</v>
      </c>
      <c r="D290" s="4" t="s">
        <v>163</v>
      </c>
      <c r="E290" s="4" t="n">
        <v>12</v>
      </c>
      <c r="F290" s="12" t="n">
        <v>18804</v>
      </c>
      <c r="G290" s="10" t="str">
        <f aca="false">IFERROR(INDEX(Mapping!$B$2:$B$100,MATCH(B290,Mapping!$A$2:$A$100,0)),"UNMATCHED")</f>
        <v>M08</v>
      </c>
    </row>
    <row r="291" customFormat="false" ht="15" hidden="false" customHeight="false" outlineLevel="0" collapsed="false">
      <c r="A291" s="4" t="s">
        <v>449</v>
      </c>
      <c r="B291" s="4" t="s">
        <v>83</v>
      </c>
      <c r="C291" s="4" t="s">
        <v>159</v>
      </c>
      <c r="D291" s="4" t="s">
        <v>165</v>
      </c>
      <c r="E291" s="4" t="n">
        <v>8</v>
      </c>
      <c r="F291" s="12" t="n">
        <v>18440</v>
      </c>
      <c r="G291" s="10" t="str">
        <f aca="false">IFERROR(INDEX(Mapping!$B$2:$B$100,MATCH(B291,Mapping!$A$2:$A$100,0)),"UNMATCHED")</f>
        <v>M08</v>
      </c>
    </row>
    <row r="292" customFormat="false" ht="15" hidden="false" customHeight="false" outlineLevel="0" collapsed="false">
      <c r="A292" s="4" t="s">
        <v>450</v>
      </c>
      <c r="B292" s="4" t="s">
        <v>83</v>
      </c>
      <c r="C292" s="4" t="s">
        <v>150</v>
      </c>
      <c r="D292" s="4" t="s">
        <v>163</v>
      </c>
      <c r="E292" s="4" t="n">
        <v>10</v>
      </c>
      <c r="F292" s="12" t="n">
        <v>16330</v>
      </c>
      <c r="G292" s="10" t="str">
        <f aca="false">IFERROR(INDEX(Mapping!$B$2:$B$100,MATCH(B292,Mapping!$A$2:$A$100,0)),"UNMATCHED")</f>
        <v>M08</v>
      </c>
    </row>
    <row r="293" customFormat="false" ht="15" hidden="false" customHeight="false" outlineLevel="0" collapsed="false">
      <c r="A293" s="4" t="s">
        <v>451</v>
      </c>
      <c r="B293" s="4" t="s">
        <v>83</v>
      </c>
      <c r="C293" s="4" t="s">
        <v>153</v>
      </c>
      <c r="D293" s="4" t="s">
        <v>168</v>
      </c>
      <c r="E293" s="4" t="n">
        <v>6</v>
      </c>
      <c r="F293" s="12" t="n">
        <v>14376</v>
      </c>
      <c r="G293" s="10" t="str">
        <f aca="false">IFERROR(INDEX(Mapping!$B$2:$B$100,MATCH(B293,Mapping!$A$2:$A$100,0)),"UNMATCHED")</f>
        <v>M08</v>
      </c>
    </row>
    <row r="294" customFormat="false" ht="15" hidden="false" customHeight="false" outlineLevel="0" collapsed="false">
      <c r="A294" s="4" t="s">
        <v>452</v>
      </c>
      <c r="B294" s="4" t="s">
        <v>83</v>
      </c>
      <c r="C294" s="4" t="s">
        <v>159</v>
      </c>
      <c r="D294" s="4" t="s">
        <v>175</v>
      </c>
      <c r="E294" s="4" t="n">
        <v>2</v>
      </c>
      <c r="F294" s="12" t="n">
        <v>3702</v>
      </c>
      <c r="G294" s="10" t="str">
        <f aca="false">IFERROR(INDEX(Mapping!$B$2:$B$100,MATCH(B294,Mapping!$A$2:$A$100,0)),"UNMATCHED")</f>
        <v>M08</v>
      </c>
    </row>
    <row r="295" customFormat="false" ht="15" hidden="false" customHeight="false" outlineLevel="0" collapsed="false">
      <c r="A295" s="4" t="s">
        <v>453</v>
      </c>
      <c r="B295" s="4" t="s">
        <v>83</v>
      </c>
      <c r="C295" s="4" t="s">
        <v>150</v>
      </c>
      <c r="D295" s="4" t="s">
        <v>151</v>
      </c>
      <c r="E295" s="4" t="n">
        <v>2</v>
      </c>
      <c r="F295" s="12" t="n">
        <v>3636</v>
      </c>
      <c r="G295" s="10" t="str">
        <f aca="false">IFERROR(INDEX(Mapping!$B$2:$B$100,MATCH(B295,Mapping!$A$2:$A$100,0)),"UNMATCHED")</f>
        <v>M08</v>
      </c>
    </row>
    <row r="296" customFormat="false" ht="15" hidden="false" customHeight="false" outlineLevel="0" collapsed="false">
      <c r="A296" s="4" t="s">
        <v>454</v>
      </c>
      <c r="B296" s="4" t="s">
        <v>87</v>
      </c>
      <c r="C296" s="4" t="s">
        <v>150</v>
      </c>
      <c r="D296" s="4" t="s">
        <v>154</v>
      </c>
      <c r="E296" s="4" t="n">
        <v>6</v>
      </c>
      <c r="F296" s="12" t="n">
        <v>11952</v>
      </c>
      <c r="G296" s="10" t="str">
        <f aca="false">IFERROR(INDEX(Mapping!$B$2:$B$100,MATCH(B296,Mapping!$A$2:$A$100,0)),"UNMATCHED")</f>
        <v>M09</v>
      </c>
    </row>
    <row r="297" customFormat="false" ht="15" hidden="false" customHeight="false" outlineLevel="0" collapsed="false">
      <c r="A297" s="4" t="s">
        <v>455</v>
      </c>
      <c r="B297" s="4" t="s">
        <v>87</v>
      </c>
      <c r="C297" s="4" t="s">
        <v>170</v>
      </c>
      <c r="D297" s="4" t="s">
        <v>151</v>
      </c>
      <c r="E297" s="4" t="n">
        <v>8</v>
      </c>
      <c r="F297" s="12" t="n">
        <v>18248</v>
      </c>
      <c r="G297" s="10" t="str">
        <f aca="false">IFERROR(INDEX(Mapping!$B$2:$B$100,MATCH(B297,Mapping!$A$2:$A$100,0)),"UNMATCHED")</f>
        <v>M09</v>
      </c>
    </row>
    <row r="298" customFormat="false" ht="15" hidden="false" customHeight="false" outlineLevel="0" collapsed="false">
      <c r="A298" s="4" t="s">
        <v>456</v>
      </c>
      <c r="B298" s="4" t="s">
        <v>87</v>
      </c>
      <c r="C298" s="4" t="s">
        <v>153</v>
      </c>
      <c r="D298" s="4" t="s">
        <v>175</v>
      </c>
      <c r="E298" s="4" t="n">
        <v>10</v>
      </c>
      <c r="F298" s="12" t="n">
        <v>18710</v>
      </c>
      <c r="G298" s="10" t="str">
        <f aca="false">IFERROR(INDEX(Mapping!$B$2:$B$100,MATCH(B298,Mapping!$A$2:$A$100,0)),"UNMATCHED")</f>
        <v>M09</v>
      </c>
    </row>
    <row r="299" customFormat="false" ht="15" hidden="false" customHeight="false" outlineLevel="0" collapsed="false">
      <c r="A299" s="4" t="s">
        <v>457</v>
      </c>
      <c r="B299" s="4" t="s">
        <v>87</v>
      </c>
      <c r="C299" s="4" t="s">
        <v>156</v>
      </c>
      <c r="D299" s="4" t="s">
        <v>163</v>
      </c>
      <c r="E299" s="4" t="n">
        <v>2</v>
      </c>
      <c r="F299" s="12" t="n">
        <v>4426</v>
      </c>
      <c r="G299" s="10" t="str">
        <f aca="false">IFERROR(INDEX(Mapping!$B$2:$B$100,MATCH(B299,Mapping!$A$2:$A$100,0)),"UNMATCHED")</f>
        <v>M09</v>
      </c>
    </row>
    <row r="300" customFormat="false" ht="15" hidden="false" customHeight="false" outlineLevel="0" collapsed="false">
      <c r="A300" s="4" t="s">
        <v>458</v>
      </c>
      <c r="B300" s="4" t="s">
        <v>87</v>
      </c>
      <c r="C300" s="4" t="s">
        <v>150</v>
      </c>
      <c r="D300" s="4" t="s">
        <v>175</v>
      </c>
      <c r="E300" s="4" t="n">
        <v>8</v>
      </c>
      <c r="F300" s="12" t="n">
        <v>12472</v>
      </c>
      <c r="G300" s="10" t="str">
        <f aca="false">IFERROR(INDEX(Mapping!$B$2:$B$100,MATCH(B300,Mapping!$A$2:$A$100,0)),"UNMATCHED")</f>
        <v>M09</v>
      </c>
    </row>
    <row r="301" customFormat="false" ht="15" hidden="false" customHeight="false" outlineLevel="0" collapsed="false">
      <c r="A301" s="4" t="s">
        <v>459</v>
      </c>
      <c r="B301" s="4" t="s">
        <v>87</v>
      </c>
      <c r="C301" s="4" t="s">
        <v>159</v>
      </c>
      <c r="D301" s="4" t="s">
        <v>165</v>
      </c>
      <c r="E301" s="4" t="n">
        <v>10</v>
      </c>
      <c r="F301" s="12" t="n">
        <v>22280</v>
      </c>
      <c r="G301" s="10" t="str">
        <f aca="false">IFERROR(INDEX(Mapping!$B$2:$B$100,MATCH(B301,Mapping!$A$2:$A$100,0)),"UNMATCHED")</f>
        <v>M09</v>
      </c>
    </row>
    <row r="302" customFormat="false" ht="15" hidden="false" customHeight="false" outlineLevel="0" collapsed="false">
      <c r="A302" s="4" t="s">
        <v>460</v>
      </c>
      <c r="B302" s="4" t="s">
        <v>87</v>
      </c>
      <c r="C302" s="4" t="s">
        <v>150</v>
      </c>
      <c r="D302" s="4" t="s">
        <v>151</v>
      </c>
      <c r="E302" s="4" t="n">
        <v>8</v>
      </c>
      <c r="F302" s="12" t="n">
        <v>11536</v>
      </c>
      <c r="G302" s="10" t="str">
        <f aca="false">IFERROR(INDEX(Mapping!$B$2:$B$100,MATCH(B302,Mapping!$A$2:$A$100,0)),"UNMATCHED")</f>
        <v>M09</v>
      </c>
    </row>
    <row r="303" customFormat="false" ht="15" hidden="false" customHeight="false" outlineLevel="0" collapsed="false">
      <c r="A303" s="4" t="s">
        <v>461</v>
      </c>
      <c r="B303" s="4" t="s">
        <v>87</v>
      </c>
      <c r="C303" s="4" t="s">
        <v>156</v>
      </c>
      <c r="D303" s="4" t="s">
        <v>163</v>
      </c>
      <c r="E303" s="4" t="n">
        <v>12</v>
      </c>
      <c r="F303" s="12" t="n">
        <v>25692</v>
      </c>
      <c r="G303" s="10" t="str">
        <f aca="false">IFERROR(INDEX(Mapping!$B$2:$B$100,MATCH(B303,Mapping!$A$2:$A$100,0)),"UNMATCHED")</f>
        <v>M09</v>
      </c>
    </row>
    <row r="304" customFormat="false" ht="15" hidden="false" customHeight="false" outlineLevel="0" collapsed="false">
      <c r="A304" s="4" t="s">
        <v>462</v>
      </c>
      <c r="B304" s="4" t="s">
        <v>87</v>
      </c>
      <c r="C304" s="4" t="s">
        <v>153</v>
      </c>
      <c r="D304" s="4" t="s">
        <v>163</v>
      </c>
      <c r="E304" s="4" t="n">
        <v>4</v>
      </c>
      <c r="F304" s="12" t="n">
        <v>9168</v>
      </c>
      <c r="G304" s="10" t="str">
        <f aca="false">IFERROR(INDEX(Mapping!$B$2:$B$100,MATCH(B304,Mapping!$A$2:$A$100,0)),"UNMATCHED")</f>
        <v>M09</v>
      </c>
    </row>
    <row r="305" customFormat="false" ht="15" hidden="false" customHeight="false" outlineLevel="0" collapsed="false">
      <c r="A305" s="4" t="s">
        <v>463</v>
      </c>
      <c r="B305" s="4" t="s">
        <v>87</v>
      </c>
      <c r="C305" s="4" t="s">
        <v>150</v>
      </c>
      <c r="D305" s="4" t="s">
        <v>151</v>
      </c>
      <c r="E305" s="4" t="n">
        <v>8</v>
      </c>
      <c r="F305" s="12" t="n">
        <v>16280</v>
      </c>
      <c r="G305" s="10" t="str">
        <f aca="false">IFERROR(INDEX(Mapping!$B$2:$B$100,MATCH(B305,Mapping!$A$2:$A$100,0)),"UNMATCHED")</f>
        <v>M09</v>
      </c>
    </row>
    <row r="306" customFormat="false" ht="15" hidden="false" customHeight="false" outlineLevel="0" collapsed="false">
      <c r="A306" s="4" t="s">
        <v>464</v>
      </c>
      <c r="B306" s="4" t="s">
        <v>87</v>
      </c>
      <c r="C306" s="4" t="s">
        <v>153</v>
      </c>
      <c r="D306" s="4" t="s">
        <v>168</v>
      </c>
      <c r="E306" s="4" t="n">
        <v>4</v>
      </c>
      <c r="F306" s="12" t="n">
        <v>6224</v>
      </c>
      <c r="G306" s="10" t="str">
        <f aca="false">IFERROR(INDEX(Mapping!$B$2:$B$100,MATCH(B306,Mapping!$A$2:$A$100,0)),"UNMATCHED")</f>
        <v>M09</v>
      </c>
    </row>
    <row r="307" customFormat="false" ht="15" hidden="false" customHeight="false" outlineLevel="0" collapsed="false">
      <c r="A307" s="4" t="s">
        <v>465</v>
      </c>
      <c r="B307" s="4" t="s">
        <v>87</v>
      </c>
      <c r="C307" s="4" t="s">
        <v>170</v>
      </c>
      <c r="D307" s="4" t="s">
        <v>165</v>
      </c>
      <c r="E307" s="4" t="n">
        <v>10</v>
      </c>
      <c r="F307" s="12" t="n">
        <v>24440</v>
      </c>
      <c r="G307" s="10" t="str">
        <f aca="false">IFERROR(INDEX(Mapping!$B$2:$B$100,MATCH(B307,Mapping!$A$2:$A$100,0)),"UNMATCHED")</f>
        <v>M09</v>
      </c>
    </row>
    <row r="308" customFormat="false" ht="15" hidden="false" customHeight="false" outlineLevel="0" collapsed="false">
      <c r="A308" s="4" t="s">
        <v>466</v>
      </c>
      <c r="B308" s="4" t="s">
        <v>87</v>
      </c>
      <c r="C308" s="4" t="s">
        <v>170</v>
      </c>
      <c r="D308" s="4" t="s">
        <v>154</v>
      </c>
      <c r="E308" s="4" t="n">
        <v>12</v>
      </c>
      <c r="F308" s="12" t="n">
        <v>20424</v>
      </c>
      <c r="G308" s="10" t="str">
        <f aca="false">IFERROR(INDEX(Mapping!$B$2:$B$100,MATCH(B308,Mapping!$A$2:$A$100,0)),"UNMATCHED")</f>
        <v>M09</v>
      </c>
    </row>
    <row r="309" customFormat="false" ht="15" hidden="false" customHeight="false" outlineLevel="0" collapsed="false">
      <c r="A309" s="4" t="s">
        <v>467</v>
      </c>
      <c r="B309" s="4" t="s">
        <v>87</v>
      </c>
      <c r="C309" s="4" t="s">
        <v>170</v>
      </c>
      <c r="D309" s="4" t="s">
        <v>175</v>
      </c>
      <c r="E309" s="4" t="n">
        <v>6</v>
      </c>
      <c r="F309" s="12" t="n">
        <v>10824</v>
      </c>
      <c r="G309" s="10" t="str">
        <f aca="false">IFERROR(INDEX(Mapping!$B$2:$B$100,MATCH(B309,Mapping!$A$2:$A$100,0)),"UNMATCHED")</f>
        <v>M09</v>
      </c>
    </row>
    <row r="310" customFormat="false" ht="15" hidden="false" customHeight="false" outlineLevel="0" collapsed="false">
      <c r="A310" s="4" t="s">
        <v>468</v>
      </c>
      <c r="B310" s="4" t="s">
        <v>87</v>
      </c>
      <c r="C310" s="4" t="s">
        <v>170</v>
      </c>
      <c r="D310" s="4" t="s">
        <v>168</v>
      </c>
      <c r="E310" s="4" t="n">
        <v>12</v>
      </c>
      <c r="F310" s="12" t="n">
        <v>18648</v>
      </c>
      <c r="G310" s="10" t="str">
        <f aca="false">IFERROR(INDEX(Mapping!$B$2:$B$100,MATCH(B310,Mapping!$A$2:$A$100,0)),"UNMATCHED")</f>
        <v>M09</v>
      </c>
    </row>
    <row r="311" customFormat="false" ht="15" hidden="false" customHeight="false" outlineLevel="0" collapsed="false">
      <c r="A311" s="4" t="s">
        <v>469</v>
      </c>
      <c r="B311" s="4" t="s">
        <v>87</v>
      </c>
      <c r="C311" s="4" t="s">
        <v>153</v>
      </c>
      <c r="D311" s="4" t="s">
        <v>163</v>
      </c>
      <c r="E311" s="4" t="n">
        <v>8</v>
      </c>
      <c r="F311" s="12" t="n">
        <v>20432</v>
      </c>
      <c r="G311" s="10" t="str">
        <f aca="false">IFERROR(INDEX(Mapping!$B$2:$B$100,MATCH(B311,Mapping!$A$2:$A$100,0)),"UNMATCHED")</f>
        <v>M09</v>
      </c>
    </row>
    <row r="312" customFormat="false" ht="15" hidden="false" customHeight="false" outlineLevel="0" collapsed="false">
      <c r="A312" s="4" t="s">
        <v>470</v>
      </c>
      <c r="B312" s="4" t="s">
        <v>87</v>
      </c>
      <c r="C312" s="4" t="s">
        <v>170</v>
      </c>
      <c r="D312" s="4" t="s">
        <v>163</v>
      </c>
      <c r="E312" s="4" t="n">
        <v>12</v>
      </c>
      <c r="F312" s="12" t="n">
        <v>24564</v>
      </c>
      <c r="G312" s="10" t="str">
        <f aca="false">IFERROR(INDEX(Mapping!$B$2:$B$100,MATCH(B312,Mapping!$A$2:$A$100,0)),"UNMATCHED")</f>
        <v>M09</v>
      </c>
    </row>
    <row r="313" customFormat="false" ht="15" hidden="false" customHeight="false" outlineLevel="0" collapsed="false">
      <c r="A313" s="4" t="s">
        <v>471</v>
      </c>
      <c r="B313" s="4" t="s">
        <v>87</v>
      </c>
      <c r="C313" s="4" t="s">
        <v>150</v>
      </c>
      <c r="D313" s="4" t="s">
        <v>165</v>
      </c>
      <c r="E313" s="4" t="n">
        <v>8</v>
      </c>
      <c r="F313" s="12" t="n">
        <v>18440</v>
      </c>
      <c r="G313" s="10" t="str">
        <f aca="false">IFERROR(INDEX(Mapping!$B$2:$B$100,MATCH(B313,Mapping!$A$2:$A$100,0)),"UNMATCHED")</f>
        <v>M09</v>
      </c>
    </row>
    <row r="314" customFormat="false" ht="15" hidden="false" customHeight="false" outlineLevel="0" collapsed="false">
      <c r="A314" s="4" t="s">
        <v>472</v>
      </c>
      <c r="B314" s="4" t="s">
        <v>87</v>
      </c>
      <c r="C314" s="4" t="s">
        <v>156</v>
      </c>
      <c r="D314" s="4" t="s">
        <v>165</v>
      </c>
      <c r="E314" s="4" t="n">
        <v>6</v>
      </c>
      <c r="F314" s="12" t="n">
        <v>14634</v>
      </c>
      <c r="G314" s="10" t="str">
        <f aca="false">IFERROR(INDEX(Mapping!$B$2:$B$100,MATCH(B314,Mapping!$A$2:$A$100,0)),"UNMATCHED")</f>
        <v>M09</v>
      </c>
    </row>
    <row r="315" customFormat="false" ht="15" hidden="false" customHeight="false" outlineLevel="0" collapsed="false">
      <c r="A315" s="4" t="s">
        <v>473</v>
      </c>
      <c r="B315" s="4" t="s">
        <v>87</v>
      </c>
      <c r="C315" s="4" t="s">
        <v>156</v>
      </c>
      <c r="D315" s="4" t="s">
        <v>165</v>
      </c>
      <c r="E315" s="4" t="n">
        <v>8</v>
      </c>
      <c r="F315" s="12" t="n">
        <v>11816</v>
      </c>
      <c r="G315" s="10" t="str">
        <f aca="false">IFERROR(INDEX(Mapping!$B$2:$B$100,MATCH(B315,Mapping!$A$2:$A$100,0)),"UNMATCHED")</f>
        <v>M09</v>
      </c>
    </row>
    <row r="316" customFormat="false" ht="15" hidden="false" customHeight="false" outlineLevel="0" collapsed="false">
      <c r="A316" s="4" t="s">
        <v>474</v>
      </c>
      <c r="B316" s="4" t="s">
        <v>87</v>
      </c>
      <c r="C316" s="4" t="s">
        <v>153</v>
      </c>
      <c r="D316" s="4" t="s">
        <v>175</v>
      </c>
      <c r="E316" s="4" t="n">
        <v>2</v>
      </c>
      <c r="F316" s="12" t="n">
        <v>3168</v>
      </c>
      <c r="G316" s="10" t="str">
        <f aca="false">IFERROR(INDEX(Mapping!$B$2:$B$100,MATCH(B316,Mapping!$A$2:$A$100,0)),"UNMATCHED")</f>
        <v>M09</v>
      </c>
    </row>
    <row r="317" customFormat="false" ht="15" hidden="false" customHeight="false" outlineLevel="0" collapsed="false">
      <c r="A317" s="4" t="s">
        <v>475</v>
      </c>
      <c r="B317" s="4" t="s">
        <v>91</v>
      </c>
      <c r="C317" s="4" t="s">
        <v>153</v>
      </c>
      <c r="D317" s="4" t="s">
        <v>168</v>
      </c>
      <c r="E317" s="4" t="n">
        <v>8</v>
      </c>
      <c r="F317" s="12" t="n">
        <v>20704</v>
      </c>
      <c r="G317" s="10" t="str">
        <f aca="false">IFERROR(INDEX(Mapping!$B$2:$B$100,MATCH(B317,Mapping!$A$2:$A$100,0)),"UNMATCHED")</f>
        <v>M10</v>
      </c>
    </row>
    <row r="318" customFormat="false" ht="15" hidden="false" customHeight="false" outlineLevel="0" collapsed="false">
      <c r="A318" s="4" t="s">
        <v>476</v>
      </c>
      <c r="B318" s="4" t="s">
        <v>91</v>
      </c>
      <c r="C318" s="4" t="s">
        <v>170</v>
      </c>
      <c r="D318" s="4" t="s">
        <v>165</v>
      </c>
      <c r="E318" s="4" t="n">
        <v>8</v>
      </c>
      <c r="F318" s="12" t="n">
        <v>20560</v>
      </c>
      <c r="G318" s="10" t="str">
        <f aca="false">IFERROR(INDEX(Mapping!$B$2:$B$100,MATCH(B318,Mapping!$A$2:$A$100,0)),"UNMATCHED")</f>
        <v>M10</v>
      </c>
    </row>
    <row r="319" customFormat="false" ht="15" hidden="false" customHeight="false" outlineLevel="0" collapsed="false">
      <c r="A319" s="4" t="s">
        <v>477</v>
      </c>
      <c r="B319" s="4" t="s">
        <v>91</v>
      </c>
      <c r="C319" s="4" t="s">
        <v>156</v>
      </c>
      <c r="D319" s="4" t="s">
        <v>163</v>
      </c>
      <c r="E319" s="4" t="n">
        <v>10</v>
      </c>
      <c r="F319" s="12" t="n">
        <v>17080</v>
      </c>
      <c r="G319" s="10" t="str">
        <f aca="false">IFERROR(INDEX(Mapping!$B$2:$B$100,MATCH(B319,Mapping!$A$2:$A$100,0)),"UNMATCHED")</f>
        <v>M10</v>
      </c>
    </row>
    <row r="320" customFormat="false" ht="15" hidden="false" customHeight="false" outlineLevel="0" collapsed="false">
      <c r="A320" s="4" t="s">
        <v>478</v>
      </c>
      <c r="B320" s="4" t="s">
        <v>91</v>
      </c>
      <c r="C320" s="4" t="s">
        <v>153</v>
      </c>
      <c r="D320" s="4" t="s">
        <v>168</v>
      </c>
      <c r="E320" s="4" t="n">
        <v>6</v>
      </c>
      <c r="F320" s="12" t="n">
        <v>9432</v>
      </c>
      <c r="G320" s="10" t="str">
        <f aca="false">IFERROR(INDEX(Mapping!$B$2:$B$100,MATCH(B320,Mapping!$A$2:$A$100,0)),"UNMATCHED")</f>
        <v>M10</v>
      </c>
    </row>
    <row r="321" customFormat="false" ht="15" hidden="false" customHeight="false" outlineLevel="0" collapsed="false">
      <c r="A321" s="4" t="s">
        <v>479</v>
      </c>
      <c r="B321" s="4" t="s">
        <v>91</v>
      </c>
      <c r="C321" s="4" t="s">
        <v>159</v>
      </c>
      <c r="D321" s="4" t="s">
        <v>163</v>
      </c>
      <c r="E321" s="4" t="n">
        <v>2</v>
      </c>
      <c r="F321" s="12" t="n">
        <v>3814</v>
      </c>
      <c r="G321" s="10" t="str">
        <f aca="false">IFERROR(INDEX(Mapping!$B$2:$B$100,MATCH(B321,Mapping!$A$2:$A$100,0)),"UNMATCHED")</f>
        <v>M10</v>
      </c>
    </row>
    <row r="322" customFormat="false" ht="15" hidden="false" customHeight="false" outlineLevel="0" collapsed="false">
      <c r="A322" s="4" t="s">
        <v>480</v>
      </c>
      <c r="B322" s="4" t="s">
        <v>91</v>
      </c>
      <c r="C322" s="4" t="s">
        <v>150</v>
      </c>
      <c r="D322" s="4" t="s">
        <v>163</v>
      </c>
      <c r="E322" s="4" t="n">
        <v>6</v>
      </c>
      <c r="F322" s="12" t="n">
        <v>12978</v>
      </c>
      <c r="G322" s="10" t="str">
        <f aca="false">IFERROR(INDEX(Mapping!$B$2:$B$100,MATCH(B322,Mapping!$A$2:$A$100,0)),"UNMATCHED")</f>
        <v>M10</v>
      </c>
    </row>
    <row r="323" customFormat="false" ht="15" hidden="false" customHeight="false" outlineLevel="0" collapsed="false">
      <c r="A323" s="4" t="s">
        <v>481</v>
      </c>
      <c r="B323" s="4" t="s">
        <v>91</v>
      </c>
      <c r="C323" s="4" t="s">
        <v>150</v>
      </c>
      <c r="D323" s="4" t="s">
        <v>154</v>
      </c>
      <c r="E323" s="4" t="n">
        <v>6</v>
      </c>
      <c r="F323" s="12" t="n">
        <v>9042</v>
      </c>
      <c r="G323" s="10" t="str">
        <f aca="false">IFERROR(INDEX(Mapping!$B$2:$B$100,MATCH(B323,Mapping!$A$2:$A$100,0)),"UNMATCHED")</f>
        <v>M10</v>
      </c>
    </row>
    <row r="324" customFormat="false" ht="15" hidden="false" customHeight="false" outlineLevel="0" collapsed="false">
      <c r="A324" s="4" t="s">
        <v>482</v>
      </c>
      <c r="B324" s="4" t="s">
        <v>91</v>
      </c>
      <c r="C324" s="4" t="s">
        <v>159</v>
      </c>
      <c r="D324" s="4" t="s">
        <v>165</v>
      </c>
      <c r="E324" s="4" t="n">
        <v>2</v>
      </c>
      <c r="F324" s="12" t="n">
        <v>5084</v>
      </c>
      <c r="G324" s="10" t="str">
        <f aca="false">IFERROR(INDEX(Mapping!$B$2:$B$100,MATCH(B324,Mapping!$A$2:$A$100,0)),"UNMATCHED")</f>
        <v>M10</v>
      </c>
    </row>
    <row r="325" customFormat="false" ht="15" hidden="false" customHeight="false" outlineLevel="0" collapsed="false">
      <c r="A325" s="4" t="s">
        <v>483</v>
      </c>
      <c r="B325" s="4" t="s">
        <v>91</v>
      </c>
      <c r="C325" s="4" t="s">
        <v>150</v>
      </c>
      <c r="D325" s="4" t="s">
        <v>154</v>
      </c>
      <c r="E325" s="4" t="n">
        <v>12</v>
      </c>
      <c r="F325" s="12" t="n">
        <v>20484</v>
      </c>
      <c r="G325" s="10" t="str">
        <f aca="false">IFERROR(INDEX(Mapping!$B$2:$B$100,MATCH(B325,Mapping!$A$2:$A$100,0)),"UNMATCHED")</f>
        <v>M10</v>
      </c>
    </row>
    <row r="326" customFormat="false" ht="15" hidden="false" customHeight="false" outlineLevel="0" collapsed="false">
      <c r="A326" s="4" t="s">
        <v>484</v>
      </c>
      <c r="B326" s="4" t="s">
        <v>91</v>
      </c>
      <c r="C326" s="4" t="s">
        <v>159</v>
      </c>
      <c r="D326" s="4" t="s">
        <v>151</v>
      </c>
      <c r="E326" s="4" t="n">
        <v>6</v>
      </c>
      <c r="F326" s="12" t="n">
        <v>12210</v>
      </c>
      <c r="G326" s="10" t="str">
        <f aca="false">IFERROR(INDEX(Mapping!$B$2:$B$100,MATCH(B326,Mapping!$A$2:$A$100,0)),"UNMATCHED")</f>
        <v>M10</v>
      </c>
    </row>
    <row r="327" customFormat="false" ht="15" hidden="false" customHeight="false" outlineLevel="0" collapsed="false">
      <c r="A327" s="4" t="s">
        <v>485</v>
      </c>
      <c r="B327" s="4" t="s">
        <v>91</v>
      </c>
      <c r="C327" s="4" t="s">
        <v>159</v>
      </c>
      <c r="D327" s="4" t="s">
        <v>168</v>
      </c>
      <c r="E327" s="4" t="n">
        <v>6</v>
      </c>
      <c r="F327" s="12" t="n">
        <v>15264</v>
      </c>
      <c r="G327" s="10" t="str">
        <f aca="false">IFERROR(INDEX(Mapping!$B$2:$B$100,MATCH(B327,Mapping!$A$2:$A$100,0)),"UNMATCHED")</f>
        <v>M10</v>
      </c>
    </row>
    <row r="328" customFormat="false" ht="15" hidden="false" customHeight="false" outlineLevel="0" collapsed="false">
      <c r="A328" s="4" t="s">
        <v>486</v>
      </c>
      <c r="B328" s="4" t="s">
        <v>91</v>
      </c>
      <c r="C328" s="4" t="s">
        <v>156</v>
      </c>
      <c r="D328" s="4" t="s">
        <v>168</v>
      </c>
      <c r="E328" s="4" t="n">
        <v>4</v>
      </c>
      <c r="F328" s="12" t="n">
        <v>9912</v>
      </c>
      <c r="G328" s="10" t="str">
        <f aca="false">IFERROR(INDEX(Mapping!$B$2:$B$100,MATCH(B328,Mapping!$A$2:$A$100,0)),"UNMATCHED")</f>
        <v>M10</v>
      </c>
    </row>
    <row r="329" customFormat="false" ht="15" hidden="false" customHeight="false" outlineLevel="0" collapsed="false">
      <c r="A329" s="4" t="s">
        <v>487</v>
      </c>
      <c r="B329" s="4" t="s">
        <v>91</v>
      </c>
      <c r="C329" s="4" t="s">
        <v>156</v>
      </c>
      <c r="D329" s="4" t="s">
        <v>165</v>
      </c>
      <c r="E329" s="4" t="n">
        <v>10</v>
      </c>
      <c r="F329" s="12" t="n">
        <v>21410</v>
      </c>
      <c r="G329" s="10" t="str">
        <f aca="false">IFERROR(INDEX(Mapping!$B$2:$B$100,MATCH(B329,Mapping!$A$2:$A$100,0)),"UNMATCHED")</f>
        <v>M10</v>
      </c>
    </row>
    <row r="330" customFormat="false" ht="15" hidden="false" customHeight="false" outlineLevel="0" collapsed="false">
      <c r="A330" s="4" t="s">
        <v>488</v>
      </c>
      <c r="B330" s="4" t="s">
        <v>91</v>
      </c>
      <c r="C330" s="4" t="s">
        <v>150</v>
      </c>
      <c r="D330" s="4" t="s">
        <v>163</v>
      </c>
      <c r="E330" s="4" t="n">
        <v>4</v>
      </c>
      <c r="F330" s="12" t="n">
        <v>7352</v>
      </c>
      <c r="G330" s="10" t="str">
        <f aca="false">IFERROR(INDEX(Mapping!$B$2:$B$100,MATCH(B330,Mapping!$A$2:$A$100,0)),"UNMATCHED")</f>
        <v>M10</v>
      </c>
    </row>
    <row r="331" customFormat="false" ht="15" hidden="false" customHeight="false" outlineLevel="0" collapsed="false">
      <c r="A331" s="4" t="s">
        <v>489</v>
      </c>
      <c r="B331" s="4" t="s">
        <v>91</v>
      </c>
      <c r="C331" s="4" t="s">
        <v>170</v>
      </c>
      <c r="D331" s="4" t="s">
        <v>154</v>
      </c>
      <c r="E331" s="4" t="n">
        <v>4</v>
      </c>
      <c r="F331" s="12" t="n">
        <v>6724</v>
      </c>
      <c r="G331" s="10" t="str">
        <f aca="false">IFERROR(INDEX(Mapping!$B$2:$B$100,MATCH(B331,Mapping!$A$2:$A$100,0)),"UNMATCHED")</f>
        <v>M10</v>
      </c>
    </row>
    <row r="332" customFormat="false" ht="15" hidden="false" customHeight="false" outlineLevel="0" collapsed="false">
      <c r="A332" s="4" t="s">
        <v>490</v>
      </c>
      <c r="B332" s="4" t="s">
        <v>91</v>
      </c>
      <c r="C332" s="4" t="s">
        <v>153</v>
      </c>
      <c r="D332" s="4" t="s">
        <v>168</v>
      </c>
      <c r="E332" s="4" t="n">
        <v>2</v>
      </c>
      <c r="F332" s="12" t="n">
        <v>4878</v>
      </c>
      <c r="G332" s="10" t="str">
        <f aca="false">IFERROR(INDEX(Mapping!$B$2:$B$100,MATCH(B332,Mapping!$A$2:$A$100,0)),"UNMATCHED")</f>
        <v>M10</v>
      </c>
    </row>
    <row r="333" customFormat="false" ht="15" hidden="false" customHeight="false" outlineLevel="0" collapsed="false">
      <c r="A333" s="4" t="s">
        <v>491</v>
      </c>
      <c r="B333" s="4" t="s">
        <v>91</v>
      </c>
      <c r="C333" s="4" t="s">
        <v>153</v>
      </c>
      <c r="D333" s="4" t="s">
        <v>151</v>
      </c>
      <c r="E333" s="4" t="n">
        <v>12</v>
      </c>
      <c r="F333" s="12" t="n">
        <v>25068</v>
      </c>
      <c r="G333" s="10" t="str">
        <f aca="false">IFERROR(INDEX(Mapping!$B$2:$B$100,MATCH(B333,Mapping!$A$2:$A$100,0)),"UNMATCHED")</f>
        <v>M10</v>
      </c>
    </row>
    <row r="334" customFormat="false" ht="15" hidden="false" customHeight="false" outlineLevel="0" collapsed="false">
      <c r="A334" s="4" t="s">
        <v>492</v>
      </c>
      <c r="B334" s="4" t="s">
        <v>91</v>
      </c>
      <c r="C334" s="4" t="s">
        <v>170</v>
      </c>
      <c r="D334" s="4" t="s">
        <v>168</v>
      </c>
      <c r="E334" s="4" t="n">
        <v>4</v>
      </c>
      <c r="F334" s="12" t="n">
        <v>6928</v>
      </c>
      <c r="G334" s="10" t="str">
        <f aca="false">IFERROR(INDEX(Mapping!$B$2:$B$100,MATCH(B334,Mapping!$A$2:$A$100,0)),"UNMATCHED")</f>
        <v>M10</v>
      </c>
    </row>
    <row r="335" customFormat="false" ht="15" hidden="false" customHeight="false" outlineLevel="0" collapsed="false">
      <c r="A335" s="4" t="s">
        <v>493</v>
      </c>
      <c r="B335" s="4" t="s">
        <v>91</v>
      </c>
      <c r="C335" s="4" t="s">
        <v>156</v>
      </c>
      <c r="D335" s="4" t="s">
        <v>163</v>
      </c>
      <c r="E335" s="4" t="n">
        <v>12</v>
      </c>
      <c r="F335" s="12" t="n">
        <v>27552</v>
      </c>
      <c r="G335" s="10" t="str">
        <f aca="false">IFERROR(INDEX(Mapping!$B$2:$B$100,MATCH(B335,Mapping!$A$2:$A$100,0)),"UNMATCHED")</f>
        <v>M10</v>
      </c>
    </row>
    <row r="336" customFormat="false" ht="15" hidden="false" customHeight="false" outlineLevel="0" collapsed="false">
      <c r="A336" s="4" t="s">
        <v>494</v>
      </c>
      <c r="B336" s="4" t="s">
        <v>91</v>
      </c>
      <c r="C336" s="4" t="s">
        <v>159</v>
      </c>
      <c r="D336" s="4" t="s">
        <v>175</v>
      </c>
      <c r="E336" s="4" t="n">
        <v>12</v>
      </c>
      <c r="F336" s="12" t="n">
        <v>22632</v>
      </c>
      <c r="G336" s="10" t="str">
        <f aca="false">IFERROR(INDEX(Mapping!$B$2:$B$100,MATCH(B336,Mapping!$A$2:$A$100,0)),"UNMATCHED")</f>
        <v>M10</v>
      </c>
    </row>
    <row r="337" customFormat="false" ht="15" hidden="false" customHeight="false" outlineLevel="0" collapsed="false">
      <c r="A337" s="4" t="s">
        <v>495</v>
      </c>
      <c r="B337" s="4" t="s">
        <v>91</v>
      </c>
      <c r="C337" s="4" t="s">
        <v>170</v>
      </c>
      <c r="D337" s="4" t="s">
        <v>175</v>
      </c>
      <c r="E337" s="4" t="n">
        <v>12</v>
      </c>
      <c r="F337" s="12" t="n">
        <v>27828</v>
      </c>
      <c r="G337" s="10" t="str">
        <f aca="false">IFERROR(INDEX(Mapping!$B$2:$B$100,MATCH(B337,Mapping!$A$2:$A$100,0)),"UNMATCHED")</f>
        <v>M10</v>
      </c>
    </row>
    <row r="338" customFormat="false" ht="15" hidden="false" customHeight="false" outlineLevel="0" collapsed="false">
      <c r="A338" s="4" t="s">
        <v>496</v>
      </c>
      <c r="B338" s="4" t="s">
        <v>91</v>
      </c>
      <c r="C338" s="4" t="s">
        <v>170</v>
      </c>
      <c r="D338" s="4" t="s">
        <v>165</v>
      </c>
      <c r="E338" s="4" t="n">
        <v>6</v>
      </c>
      <c r="F338" s="12" t="n">
        <v>14160</v>
      </c>
      <c r="G338" s="10" t="str">
        <f aca="false">IFERROR(INDEX(Mapping!$B$2:$B$100,MATCH(B338,Mapping!$A$2:$A$100,0)),"UNMATCHED")</f>
        <v>M10</v>
      </c>
    </row>
    <row r="339" customFormat="false" ht="15" hidden="false" customHeight="false" outlineLevel="0" collapsed="false">
      <c r="A339" s="4" t="s">
        <v>497</v>
      </c>
      <c r="B339" s="4" t="s">
        <v>94</v>
      </c>
      <c r="C339" s="4" t="s">
        <v>159</v>
      </c>
      <c r="D339" s="4" t="s">
        <v>175</v>
      </c>
      <c r="E339" s="4" t="n">
        <v>8</v>
      </c>
      <c r="F339" s="12" t="n">
        <v>15816</v>
      </c>
      <c r="G339" s="10" t="str">
        <f aca="false">IFERROR(INDEX(Mapping!$B$2:$B$100,MATCH(B339,Mapping!$A$2:$A$100,0)),"UNMATCHED")</f>
        <v>M11</v>
      </c>
    </row>
    <row r="340" customFormat="false" ht="15" hidden="false" customHeight="false" outlineLevel="0" collapsed="false">
      <c r="A340" s="4" t="s">
        <v>498</v>
      </c>
      <c r="B340" s="4" t="s">
        <v>94</v>
      </c>
      <c r="C340" s="4" t="s">
        <v>153</v>
      </c>
      <c r="D340" s="4" t="s">
        <v>151</v>
      </c>
      <c r="E340" s="4" t="n">
        <v>4</v>
      </c>
      <c r="F340" s="12" t="n">
        <v>7232</v>
      </c>
      <c r="G340" s="10" t="str">
        <f aca="false">IFERROR(INDEX(Mapping!$B$2:$B$100,MATCH(B340,Mapping!$A$2:$A$100,0)),"UNMATCHED")</f>
        <v>M11</v>
      </c>
    </row>
    <row r="341" customFormat="false" ht="15" hidden="false" customHeight="false" outlineLevel="0" collapsed="false">
      <c r="A341" s="4" t="s">
        <v>499</v>
      </c>
      <c r="B341" s="4" t="s">
        <v>94</v>
      </c>
      <c r="C341" s="4" t="s">
        <v>150</v>
      </c>
      <c r="D341" s="4" t="s">
        <v>175</v>
      </c>
      <c r="E341" s="4" t="n">
        <v>2</v>
      </c>
      <c r="F341" s="12" t="n">
        <v>4768</v>
      </c>
      <c r="G341" s="10" t="str">
        <f aca="false">IFERROR(INDEX(Mapping!$B$2:$B$100,MATCH(B341,Mapping!$A$2:$A$100,0)),"UNMATCHED")</f>
        <v>M11</v>
      </c>
    </row>
    <row r="342" customFormat="false" ht="15" hidden="false" customHeight="false" outlineLevel="0" collapsed="false">
      <c r="A342" s="4" t="s">
        <v>500</v>
      </c>
      <c r="B342" s="4" t="s">
        <v>94</v>
      </c>
      <c r="C342" s="4" t="s">
        <v>156</v>
      </c>
      <c r="D342" s="4" t="s">
        <v>165</v>
      </c>
      <c r="E342" s="4" t="n">
        <v>12</v>
      </c>
      <c r="F342" s="12" t="n">
        <v>29472</v>
      </c>
      <c r="G342" s="10" t="str">
        <f aca="false">IFERROR(INDEX(Mapping!$B$2:$B$100,MATCH(B342,Mapping!$A$2:$A$100,0)),"UNMATCHED")</f>
        <v>M11</v>
      </c>
    </row>
    <row r="343" customFormat="false" ht="15" hidden="false" customHeight="false" outlineLevel="0" collapsed="false">
      <c r="A343" s="4" t="s">
        <v>501</v>
      </c>
      <c r="B343" s="4" t="s">
        <v>94</v>
      </c>
      <c r="C343" s="4" t="s">
        <v>159</v>
      </c>
      <c r="D343" s="4" t="s">
        <v>175</v>
      </c>
      <c r="E343" s="4" t="n">
        <v>4</v>
      </c>
      <c r="F343" s="12" t="n">
        <v>7832</v>
      </c>
      <c r="G343" s="10" t="str">
        <f aca="false">IFERROR(INDEX(Mapping!$B$2:$B$100,MATCH(B343,Mapping!$A$2:$A$100,0)),"UNMATCHED")</f>
        <v>M11</v>
      </c>
    </row>
    <row r="344" customFormat="false" ht="15" hidden="false" customHeight="false" outlineLevel="0" collapsed="false">
      <c r="A344" s="4" t="s">
        <v>502</v>
      </c>
      <c r="B344" s="4" t="s">
        <v>94</v>
      </c>
      <c r="C344" s="4" t="s">
        <v>170</v>
      </c>
      <c r="D344" s="4" t="s">
        <v>163</v>
      </c>
      <c r="E344" s="4" t="n">
        <v>8</v>
      </c>
      <c r="F344" s="12" t="n">
        <v>12696</v>
      </c>
      <c r="G344" s="10" t="str">
        <f aca="false">IFERROR(INDEX(Mapping!$B$2:$B$100,MATCH(B344,Mapping!$A$2:$A$100,0)),"UNMATCHED")</f>
        <v>M11</v>
      </c>
    </row>
    <row r="345" customFormat="false" ht="15" hidden="false" customHeight="false" outlineLevel="0" collapsed="false">
      <c r="A345" s="4" t="s">
        <v>503</v>
      </c>
      <c r="B345" s="4" t="s">
        <v>94</v>
      </c>
      <c r="C345" s="4" t="s">
        <v>156</v>
      </c>
      <c r="D345" s="4" t="s">
        <v>163</v>
      </c>
      <c r="E345" s="4" t="n">
        <v>2</v>
      </c>
      <c r="F345" s="12" t="n">
        <v>4498</v>
      </c>
      <c r="G345" s="10" t="str">
        <f aca="false">IFERROR(INDEX(Mapping!$B$2:$B$100,MATCH(B345,Mapping!$A$2:$A$100,0)),"UNMATCHED")</f>
        <v>M11</v>
      </c>
    </row>
    <row r="346" customFormat="false" ht="15" hidden="false" customHeight="false" outlineLevel="0" collapsed="false">
      <c r="A346" s="4" t="s">
        <v>504</v>
      </c>
      <c r="B346" s="4" t="s">
        <v>94</v>
      </c>
      <c r="C346" s="4" t="s">
        <v>156</v>
      </c>
      <c r="D346" s="4" t="s">
        <v>165</v>
      </c>
      <c r="E346" s="4" t="n">
        <v>4</v>
      </c>
      <c r="F346" s="12" t="n">
        <v>8760</v>
      </c>
      <c r="G346" s="10" t="str">
        <f aca="false">IFERROR(INDEX(Mapping!$B$2:$B$100,MATCH(B346,Mapping!$A$2:$A$100,0)),"UNMATCHED")</f>
        <v>M11</v>
      </c>
    </row>
    <row r="347" customFormat="false" ht="15" hidden="false" customHeight="false" outlineLevel="0" collapsed="false">
      <c r="A347" s="4" t="s">
        <v>505</v>
      </c>
      <c r="B347" s="4" t="s">
        <v>94</v>
      </c>
      <c r="C347" s="4" t="s">
        <v>156</v>
      </c>
      <c r="D347" s="4" t="s">
        <v>168</v>
      </c>
      <c r="E347" s="4" t="n">
        <v>2</v>
      </c>
      <c r="F347" s="12" t="n">
        <v>4104</v>
      </c>
      <c r="G347" s="10" t="str">
        <f aca="false">IFERROR(INDEX(Mapping!$B$2:$B$100,MATCH(B347,Mapping!$A$2:$A$100,0)),"UNMATCHED")</f>
        <v>M11</v>
      </c>
    </row>
    <row r="348" customFormat="false" ht="15" hidden="false" customHeight="false" outlineLevel="0" collapsed="false">
      <c r="A348" s="4" t="s">
        <v>506</v>
      </c>
      <c r="B348" s="4" t="s">
        <v>94</v>
      </c>
      <c r="C348" s="4" t="s">
        <v>156</v>
      </c>
      <c r="D348" s="4" t="s">
        <v>165</v>
      </c>
      <c r="E348" s="4" t="n">
        <v>4</v>
      </c>
      <c r="F348" s="12" t="n">
        <v>6724</v>
      </c>
      <c r="G348" s="10" t="str">
        <f aca="false">IFERROR(INDEX(Mapping!$B$2:$B$100,MATCH(B348,Mapping!$A$2:$A$100,0)),"UNMATCHED")</f>
        <v>M11</v>
      </c>
    </row>
    <row r="349" customFormat="false" ht="15" hidden="false" customHeight="false" outlineLevel="0" collapsed="false">
      <c r="A349" s="4" t="s">
        <v>507</v>
      </c>
      <c r="B349" s="4" t="s">
        <v>94</v>
      </c>
      <c r="C349" s="4" t="s">
        <v>159</v>
      </c>
      <c r="D349" s="4" t="s">
        <v>163</v>
      </c>
      <c r="E349" s="4" t="n">
        <v>12</v>
      </c>
      <c r="F349" s="12" t="n">
        <v>20208</v>
      </c>
      <c r="G349" s="10" t="str">
        <f aca="false">IFERROR(INDEX(Mapping!$B$2:$B$100,MATCH(B349,Mapping!$A$2:$A$100,0)),"UNMATCHED")</f>
        <v>M11</v>
      </c>
    </row>
    <row r="350" customFormat="false" ht="15" hidden="false" customHeight="false" outlineLevel="0" collapsed="false">
      <c r="A350" s="4" t="s">
        <v>508</v>
      </c>
      <c r="B350" s="4" t="s">
        <v>94</v>
      </c>
      <c r="C350" s="4" t="s">
        <v>150</v>
      </c>
      <c r="D350" s="4" t="s">
        <v>151</v>
      </c>
      <c r="E350" s="4" t="n">
        <v>2</v>
      </c>
      <c r="F350" s="12" t="n">
        <v>2876</v>
      </c>
      <c r="G350" s="10" t="str">
        <f aca="false">IFERROR(INDEX(Mapping!$B$2:$B$100,MATCH(B350,Mapping!$A$2:$A$100,0)),"UNMATCHED")</f>
        <v>M11</v>
      </c>
    </row>
    <row r="351" customFormat="false" ht="15" hidden="false" customHeight="false" outlineLevel="0" collapsed="false">
      <c r="A351" s="4" t="s">
        <v>509</v>
      </c>
      <c r="B351" s="4" t="s">
        <v>94</v>
      </c>
      <c r="C351" s="4" t="s">
        <v>159</v>
      </c>
      <c r="D351" s="4" t="s">
        <v>154</v>
      </c>
      <c r="E351" s="4" t="n">
        <v>10</v>
      </c>
      <c r="F351" s="12" t="n">
        <v>24800</v>
      </c>
      <c r="G351" s="10" t="str">
        <f aca="false">IFERROR(INDEX(Mapping!$B$2:$B$100,MATCH(B351,Mapping!$A$2:$A$100,0)),"UNMATCHED")</f>
        <v>M11</v>
      </c>
    </row>
    <row r="352" customFormat="false" ht="15" hidden="false" customHeight="false" outlineLevel="0" collapsed="false">
      <c r="A352" s="4" t="s">
        <v>510</v>
      </c>
      <c r="B352" s="4" t="s">
        <v>94</v>
      </c>
      <c r="C352" s="4" t="s">
        <v>156</v>
      </c>
      <c r="D352" s="4" t="s">
        <v>154</v>
      </c>
      <c r="E352" s="4" t="n">
        <v>4</v>
      </c>
      <c r="F352" s="12" t="n">
        <v>8064</v>
      </c>
      <c r="G352" s="10" t="str">
        <f aca="false">IFERROR(INDEX(Mapping!$B$2:$B$100,MATCH(B352,Mapping!$A$2:$A$100,0)),"UNMATCHED")</f>
        <v>M11</v>
      </c>
    </row>
    <row r="353" customFormat="false" ht="15" hidden="false" customHeight="false" outlineLevel="0" collapsed="false">
      <c r="A353" s="4" t="s">
        <v>511</v>
      </c>
      <c r="B353" s="4" t="s">
        <v>94</v>
      </c>
      <c r="C353" s="4" t="s">
        <v>156</v>
      </c>
      <c r="D353" s="4" t="s">
        <v>154</v>
      </c>
      <c r="E353" s="4" t="n">
        <v>8</v>
      </c>
      <c r="F353" s="12" t="n">
        <v>18688</v>
      </c>
      <c r="G353" s="10" t="str">
        <f aca="false">IFERROR(INDEX(Mapping!$B$2:$B$100,MATCH(B353,Mapping!$A$2:$A$100,0)),"UNMATCHED")</f>
        <v>M11</v>
      </c>
    </row>
    <row r="354" customFormat="false" ht="15" hidden="false" customHeight="false" outlineLevel="0" collapsed="false">
      <c r="A354" s="4" t="s">
        <v>512</v>
      </c>
      <c r="B354" s="4" t="s">
        <v>100</v>
      </c>
      <c r="C354" s="4" t="s">
        <v>156</v>
      </c>
      <c r="D354" s="4" t="s">
        <v>168</v>
      </c>
      <c r="E354" s="4" t="n">
        <v>10</v>
      </c>
      <c r="F354" s="12" t="n">
        <v>24970</v>
      </c>
      <c r="G354" s="10" t="str">
        <f aca="false">IFERROR(INDEX(Mapping!$B$2:$B$100,MATCH(B354,Mapping!$A$2:$A$100,0)),"UNMATCHED")</f>
        <v>M12</v>
      </c>
    </row>
    <row r="355" customFormat="false" ht="15" hidden="false" customHeight="false" outlineLevel="0" collapsed="false">
      <c r="A355" s="4" t="s">
        <v>513</v>
      </c>
      <c r="B355" s="4" t="s">
        <v>97</v>
      </c>
      <c r="C355" s="4" t="s">
        <v>150</v>
      </c>
      <c r="D355" s="4" t="s">
        <v>163</v>
      </c>
      <c r="E355" s="4" t="n">
        <v>12</v>
      </c>
      <c r="F355" s="12" t="n">
        <v>20328</v>
      </c>
      <c r="G355" s="10" t="str">
        <f aca="false">IFERROR(INDEX(Mapping!$B$2:$B$100,MATCH(B355,Mapping!$A$2:$A$100,0)),"UNMATCHED")</f>
        <v>M12</v>
      </c>
    </row>
    <row r="356" customFormat="false" ht="15" hidden="false" customHeight="false" outlineLevel="0" collapsed="false">
      <c r="A356" s="4" t="s">
        <v>514</v>
      </c>
      <c r="B356" s="4" t="s">
        <v>97</v>
      </c>
      <c r="C356" s="4" t="s">
        <v>170</v>
      </c>
      <c r="D356" s="4" t="s">
        <v>175</v>
      </c>
      <c r="E356" s="4" t="n">
        <v>10</v>
      </c>
      <c r="F356" s="12" t="n">
        <v>21220</v>
      </c>
      <c r="G356" s="10" t="str">
        <f aca="false">IFERROR(INDEX(Mapping!$B$2:$B$100,MATCH(B356,Mapping!$A$2:$A$100,0)),"UNMATCHED")</f>
        <v>M12</v>
      </c>
    </row>
    <row r="357" customFormat="false" ht="15" hidden="false" customHeight="false" outlineLevel="0" collapsed="false">
      <c r="A357" s="4" t="s">
        <v>515</v>
      </c>
      <c r="B357" s="4" t="s">
        <v>100</v>
      </c>
      <c r="C357" s="4" t="s">
        <v>153</v>
      </c>
      <c r="D357" s="4" t="s">
        <v>165</v>
      </c>
      <c r="E357" s="4" t="n">
        <v>4</v>
      </c>
      <c r="F357" s="12" t="n">
        <v>6300</v>
      </c>
      <c r="G357" s="10" t="str">
        <f aca="false">IFERROR(INDEX(Mapping!$B$2:$B$100,MATCH(B357,Mapping!$A$2:$A$100,0)),"UNMATCHED")</f>
        <v>M12</v>
      </c>
    </row>
    <row r="358" customFormat="false" ht="15" hidden="false" customHeight="false" outlineLevel="0" collapsed="false">
      <c r="A358" s="4" t="s">
        <v>516</v>
      </c>
      <c r="B358" s="4" t="s">
        <v>97</v>
      </c>
      <c r="C358" s="4" t="s">
        <v>153</v>
      </c>
      <c r="D358" s="4" t="s">
        <v>175</v>
      </c>
      <c r="E358" s="4" t="n">
        <v>10</v>
      </c>
      <c r="F358" s="12" t="n">
        <v>25140</v>
      </c>
      <c r="G358" s="10" t="str">
        <f aca="false">IFERROR(INDEX(Mapping!$B$2:$B$100,MATCH(B358,Mapping!$A$2:$A$100,0)),"UNMATCHED")</f>
        <v>M12</v>
      </c>
    </row>
    <row r="359" customFormat="false" ht="15" hidden="false" customHeight="false" outlineLevel="0" collapsed="false">
      <c r="A359" s="4" t="s">
        <v>517</v>
      </c>
      <c r="B359" s="4" t="s">
        <v>97</v>
      </c>
      <c r="C359" s="4" t="s">
        <v>156</v>
      </c>
      <c r="D359" s="4" t="s">
        <v>168</v>
      </c>
      <c r="E359" s="4" t="n">
        <v>8</v>
      </c>
      <c r="F359" s="12" t="n">
        <v>18896</v>
      </c>
      <c r="G359" s="10" t="str">
        <f aca="false">IFERROR(INDEX(Mapping!$B$2:$B$100,MATCH(B359,Mapping!$A$2:$A$100,0)),"UNMATCHED")</f>
        <v>M12</v>
      </c>
    </row>
    <row r="360" customFormat="false" ht="15" hidden="false" customHeight="false" outlineLevel="0" collapsed="false">
      <c r="A360" s="4" t="s">
        <v>518</v>
      </c>
      <c r="B360" s="4" t="s">
        <v>100</v>
      </c>
      <c r="C360" s="4" t="s">
        <v>156</v>
      </c>
      <c r="D360" s="4" t="s">
        <v>165</v>
      </c>
      <c r="E360" s="4" t="n">
        <v>6</v>
      </c>
      <c r="F360" s="12" t="n">
        <v>11514</v>
      </c>
      <c r="G360" s="10" t="str">
        <f aca="false">IFERROR(INDEX(Mapping!$B$2:$B$100,MATCH(B360,Mapping!$A$2:$A$100,0)),"UNMATCHED")</f>
        <v>M12</v>
      </c>
    </row>
    <row r="361" customFormat="false" ht="15" hidden="false" customHeight="false" outlineLevel="0" collapsed="false">
      <c r="A361" s="4" t="s">
        <v>519</v>
      </c>
      <c r="B361" s="4" t="s">
        <v>97</v>
      </c>
      <c r="C361" s="4" t="s">
        <v>156</v>
      </c>
      <c r="D361" s="4" t="s">
        <v>175</v>
      </c>
      <c r="E361" s="4" t="n">
        <v>6</v>
      </c>
      <c r="F361" s="12" t="n">
        <v>11358</v>
      </c>
      <c r="G361" s="10" t="str">
        <f aca="false">IFERROR(INDEX(Mapping!$B$2:$B$100,MATCH(B361,Mapping!$A$2:$A$100,0)),"UNMATCHED")</f>
        <v>M12</v>
      </c>
    </row>
    <row r="362" customFormat="false" ht="15" hidden="false" customHeight="false" outlineLevel="0" collapsed="false">
      <c r="A362" s="4" t="s">
        <v>520</v>
      </c>
      <c r="B362" s="4" t="s">
        <v>100</v>
      </c>
      <c r="C362" s="4" t="s">
        <v>150</v>
      </c>
      <c r="D362" s="4" t="s">
        <v>175</v>
      </c>
      <c r="E362" s="4" t="n">
        <v>4</v>
      </c>
      <c r="F362" s="12" t="n">
        <v>5960</v>
      </c>
      <c r="G362" s="10" t="str">
        <f aca="false">IFERROR(INDEX(Mapping!$B$2:$B$100,MATCH(B362,Mapping!$A$2:$A$100,0)),"UNMATCHED")</f>
        <v>M12</v>
      </c>
    </row>
    <row r="363" customFormat="false" ht="15" hidden="false" customHeight="false" outlineLevel="0" collapsed="false">
      <c r="A363" s="4" t="s">
        <v>521</v>
      </c>
      <c r="B363" s="4" t="s">
        <v>100</v>
      </c>
      <c r="C363" s="4" t="s">
        <v>159</v>
      </c>
      <c r="D363" s="4" t="s">
        <v>168</v>
      </c>
      <c r="E363" s="4" t="n">
        <v>12</v>
      </c>
      <c r="F363" s="12" t="n">
        <v>21096</v>
      </c>
      <c r="G363" s="10" t="str">
        <f aca="false">IFERROR(INDEX(Mapping!$B$2:$B$100,MATCH(B363,Mapping!$A$2:$A$100,0)),"UNMATCHED")</f>
        <v>M12</v>
      </c>
    </row>
    <row r="364" customFormat="false" ht="15" hidden="false" customHeight="false" outlineLevel="0" collapsed="false">
      <c r="A364" s="4" t="s">
        <v>522</v>
      </c>
      <c r="B364" s="4" t="s">
        <v>100</v>
      </c>
      <c r="C364" s="4" t="s">
        <v>170</v>
      </c>
      <c r="D364" s="4" t="s">
        <v>154</v>
      </c>
      <c r="E364" s="4" t="n">
        <v>12</v>
      </c>
      <c r="F364" s="12" t="n">
        <v>21276</v>
      </c>
      <c r="G364" s="10" t="str">
        <f aca="false">IFERROR(INDEX(Mapping!$B$2:$B$100,MATCH(B364,Mapping!$A$2:$A$100,0)),"UNMATCHED")</f>
        <v>M12</v>
      </c>
    </row>
    <row r="365" customFormat="false" ht="15" hidden="false" customHeight="false" outlineLevel="0" collapsed="false">
      <c r="A365" s="4" t="s">
        <v>523</v>
      </c>
      <c r="B365" s="4" t="s">
        <v>100</v>
      </c>
      <c r="C365" s="4" t="s">
        <v>170</v>
      </c>
      <c r="D365" s="4" t="s">
        <v>154</v>
      </c>
      <c r="E365" s="4" t="n">
        <v>2</v>
      </c>
      <c r="F365" s="12" t="n">
        <v>4000</v>
      </c>
      <c r="G365" s="10" t="str">
        <f aca="false">IFERROR(INDEX(Mapping!$B$2:$B$100,MATCH(B365,Mapping!$A$2:$A$100,0)),"UNMATCHED")</f>
        <v>M12</v>
      </c>
    </row>
    <row r="366" customFormat="false" ht="15" hidden="false" customHeight="false" outlineLevel="0" collapsed="false">
      <c r="A366" s="4" t="s">
        <v>524</v>
      </c>
      <c r="B366" s="4" t="s">
        <v>97</v>
      </c>
      <c r="C366" s="4" t="s">
        <v>150</v>
      </c>
      <c r="D366" s="4" t="s">
        <v>175</v>
      </c>
      <c r="E366" s="4" t="n">
        <v>2</v>
      </c>
      <c r="F366" s="12" t="n">
        <v>4092</v>
      </c>
      <c r="G366" s="10" t="str">
        <f aca="false">IFERROR(INDEX(Mapping!$B$2:$B$100,MATCH(B366,Mapping!$A$2:$A$100,0)),"UNMATCHED")</f>
        <v>M12</v>
      </c>
    </row>
    <row r="367" customFormat="false" ht="15" hidden="false" customHeight="false" outlineLevel="0" collapsed="false">
      <c r="A367" s="4" t="s">
        <v>525</v>
      </c>
      <c r="B367" s="4" t="s">
        <v>100</v>
      </c>
      <c r="C367" s="4" t="s">
        <v>150</v>
      </c>
      <c r="D367" s="4" t="s">
        <v>154</v>
      </c>
      <c r="E367" s="4" t="n">
        <v>10</v>
      </c>
      <c r="F367" s="12" t="n">
        <v>23690</v>
      </c>
      <c r="G367" s="10" t="str">
        <f aca="false">IFERROR(INDEX(Mapping!$B$2:$B$100,MATCH(B367,Mapping!$A$2:$A$100,0)),"UNMATCHED")</f>
        <v>M12</v>
      </c>
    </row>
    <row r="368" customFormat="false" ht="15" hidden="false" customHeight="false" outlineLevel="0" collapsed="false">
      <c r="A368" s="4" t="s">
        <v>526</v>
      </c>
      <c r="B368" s="4" t="s">
        <v>97</v>
      </c>
      <c r="C368" s="4" t="s">
        <v>156</v>
      </c>
      <c r="D368" s="4" t="s">
        <v>168</v>
      </c>
      <c r="E368" s="4" t="n">
        <v>6</v>
      </c>
      <c r="F368" s="12" t="n">
        <v>12786</v>
      </c>
      <c r="G368" s="10" t="str">
        <f aca="false">IFERROR(INDEX(Mapping!$B$2:$B$100,MATCH(B368,Mapping!$A$2:$A$100,0)),"UNMATCHED")</f>
        <v>M12</v>
      </c>
    </row>
    <row r="369" customFormat="false" ht="15" hidden="false" customHeight="false" outlineLevel="0" collapsed="false">
      <c r="A369" s="4" t="s">
        <v>527</v>
      </c>
      <c r="B369" s="4" t="s">
        <v>100</v>
      </c>
      <c r="C369" s="4" t="s">
        <v>150</v>
      </c>
      <c r="D369" s="4" t="s">
        <v>163</v>
      </c>
      <c r="E369" s="4" t="n">
        <v>6</v>
      </c>
      <c r="F369" s="12" t="n">
        <v>9924</v>
      </c>
      <c r="G369" s="10" t="str">
        <f aca="false">IFERROR(INDEX(Mapping!$B$2:$B$100,MATCH(B369,Mapping!$A$2:$A$100,0)),"UNMATCHED")</f>
        <v>M12</v>
      </c>
    </row>
    <row r="370" customFormat="false" ht="15" hidden="false" customHeight="false" outlineLevel="0" collapsed="false">
      <c r="A370" s="4" t="s">
        <v>528</v>
      </c>
      <c r="B370" s="4" t="s">
        <v>100</v>
      </c>
      <c r="C370" s="4" t="s">
        <v>159</v>
      </c>
      <c r="D370" s="4" t="s">
        <v>165</v>
      </c>
      <c r="E370" s="4" t="n">
        <v>12</v>
      </c>
      <c r="F370" s="12" t="n">
        <v>27600</v>
      </c>
      <c r="G370" s="10" t="str">
        <f aca="false">IFERROR(INDEX(Mapping!$B$2:$B$100,MATCH(B370,Mapping!$A$2:$A$100,0)),"UNMATCHED")</f>
        <v>M12</v>
      </c>
    </row>
    <row r="371" customFormat="false" ht="15" hidden="false" customHeight="false" outlineLevel="0" collapsed="false">
      <c r="A371" s="4" t="s">
        <v>529</v>
      </c>
      <c r="B371" s="4" t="s">
        <v>97</v>
      </c>
      <c r="C371" s="4" t="s">
        <v>150</v>
      </c>
      <c r="D371" s="4" t="s">
        <v>175</v>
      </c>
      <c r="E371" s="4" t="n">
        <v>8</v>
      </c>
      <c r="F371" s="12" t="n">
        <v>19344</v>
      </c>
      <c r="G371" s="10" t="str">
        <f aca="false">IFERROR(INDEX(Mapping!$B$2:$B$100,MATCH(B371,Mapping!$A$2:$A$100,0)),"UNMATCHED")</f>
        <v>M12</v>
      </c>
    </row>
    <row r="372" customFormat="false" ht="15" hidden="false" customHeight="false" outlineLevel="0" collapsed="false">
      <c r="A372" s="4" t="s">
        <v>530</v>
      </c>
      <c r="B372" s="4" t="s">
        <v>531</v>
      </c>
      <c r="C372" s="4" t="s">
        <v>159</v>
      </c>
      <c r="D372" s="4" t="s">
        <v>154</v>
      </c>
      <c r="E372" s="4" t="n">
        <v>4</v>
      </c>
      <c r="F372" s="12" t="n">
        <v>9124</v>
      </c>
      <c r="G372" s="10" t="str">
        <f aca="false">IFERROR(INDEX(Mapping!$B$2:$B$100,MATCH(B372,Mapping!$A$2:$A$100,0)),"UNMATCHED")</f>
        <v>UNMATCHED</v>
      </c>
    </row>
    <row r="373" customFormat="false" ht="15" hidden="false" customHeight="false" outlineLevel="0" collapsed="false">
      <c r="A373" s="4" t="s">
        <v>532</v>
      </c>
      <c r="B373" s="4" t="s">
        <v>531</v>
      </c>
      <c r="C373" s="4" t="s">
        <v>153</v>
      </c>
      <c r="D373" s="4" t="s">
        <v>165</v>
      </c>
      <c r="E373" s="4" t="n">
        <v>6</v>
      </c>
      <c r="F373" s="12" t="n">
        <v>12342</v>
      </c>
      <c r="G373" s="10" t="str">
        <f aca="false">IFERROR(INDEX(Mapping!$B$2:$B$100,MATCH(B373,Mapping!$A$2:$A$100,0)),"UNMATCHED")</f>
        <v>UNMATCHED</v>
      </c>
    </row>
    <row r="374" customFormat="false" ht="15" hidden="false" customHeight="false" outlineLevel="0" collapsed="false">
      <c r="A374" s="4" t="s">
        <v>533</v>
      </c>
      <c r="B374" s="4" t="s">
        <v>531</v>
      </c>
      <c r="C374" s="4" t="s">
        <v>150</v>
      </c>
      <c r="D374" s="4" t="s">
        <v>168</v>
      </c>
      <c r="E374" s="4" t="n">
        <v>2</v>
      </c>
      <c r="F374" s="12" t="n">
        <v>4010</v>
      </c>
      <c r="G374" s="10" t="str">
        <f aca="false">IFERROR(INDEX(Mapping!$B$2:$B$100,MATCH(B374,Mapping!$A$2:$A$100,0)),"UNMATCHED")</f>
        <v>UNMATCHED</v>
      </c>
    </row>
    <row r="375" customFormat="false" ht="15" hidden="false" customHeight="false" outlineLevel="0" collapsed="false">
      <c r="A375" s="4" t="s">
        <v>534</v>
      </c>
      <c r="B375" s="4" t="s">
        <v>535</v>
      </c>
      <c r="C375" s="4" t="s">
        <v>153</v>
      </c>
      <c r="D375" s="4" t="s">
        <v>168</v>
      </c>
      <c r="E375" s="4" t="n">
        <v>4</v>
      </c>
      <c r="F375" s="12" t="n">
        <v>9088</v>
      </c>
      <c r="G375" s="10" t="str">
        <f aca="false">IFERROR(INDEX(Mapping!$B$2:$B$100,MATCH(B375,Mapping!$A$2:$A$100,0)),"UNMATCHED")</f>
        <v>UNMATCHED</v>
      </c>
    </row>
    <row r="376" customFormat="false" ht="15" hidden="false" customHeight="false" outlineLevel="0" collapsed="false">
      <c r="A376" s="4" t="s">
        <v>536</v>
      </c>
      <c r="B376" s="4"/>
      <c r="C376" s="4" t="s">
        <v>159</v>
      </c>
      <c r="D376" s="4" t="s">
        <v>165</v>
      </c>
      <c r="E376" s="4" t="n">
        <v>2</v>
      </c>
      <c r="F376" s="12" t="n">
        <v>4630</v>
      </c>
      <c r="G376" s="10" t="str">
        <f aca="false">IFERROR(INDEX(Mapping!$B$2:$B$100,MATCH(B376,Mapping!$A$2:$A$100,0)),"UNMATCHED")</f>
        <v>UNMATCHED</v>
      </c>
    </row>
    <row r="377" customFormat="false" ht="15" hidden="false" customHeight="false" outlineLevel="0" collapsed="false">
      <c r="A377" s="4" t="s">
        <v>537</v>
      </c>
      <c r="B377" s="4"/>
      <c r="C377" s="4" t="s">
        <v>150</v>
      </c>
      <c r="D377" s="4" t="s">
        <v>175</v>
      </c>
      <c r="E377" s="4" t="n">
        <v>2</v>
      </c>
      <c r="F377" s="12" t="n">
        <v>4580</v>
      </c>
      <c r="G377" s="10" t="str">
        <f aca="false">IFERROR(INDEX(Mapping!$B$2:$B$100,MATCH(B377,Mapping!$A$2:$A$100,0)),"UNMATCHED")</f>
        <v>UNMATCHED</v>
      </c>
    </row>
    <row r="378" customFormat="false" ht="15" hidden="false" customHeight="false" outlineLevel="0" collapsed="false">
      <c r="A378" s="4" t="s">
        <v>538</v>
      </c>
      <c r="B378" s="4"/>
      <c r="C378" s="4" t="s">
        <v>156</v>
      </c>
      <c r="D378" s="4" t="s">
        <v>154</v>
      </c>
      <c r="E378" s="4" t="n">
        <v>4</v>
      </c>
      <c r="F378" s="12" t="n">
        <v>8924</v>
      </c>
      <c r="G378" s="10" t="str">
        <f aca="false">IFERROR(INDEX(Mapping!$B$2:$B$100,MATCH(B378,Mapping!$A$2:$A$100,0)),"UNMATCHED")</f>
        <v>UNMATCHED</v>
      </c>
    </row>
    <row r="379" customFormat="false" ht="15" hidden="false" customHeight="false" outlineLevel="0" collapsed="false">
      <c r="A379" s="4" t="s">
        <v>539</v>
      </c>
      <c r="B379" s="4"/>
      <c r="C379" s="4" t="s">
        <v>170</v>
      </c>
      <c r="D379" s="4" t="s">
        <v>154</v>
      </c>
      <c r="E379" s="4" t="n">
        <v>4</v>
      </c>
      <c r="F379" s="12" t="n">
        <v>6768</v>
      </c>
      <c r="G379" s="10" t="str">
        <f aca="false">IFERROR(INDEX(Mapping!$B$2:$B$100,MATCH(B379,Mapping!$A$2:$A$100,0)),"UNMATCHED")</f>
        <v>UNMATCHED</v>
      </c>
    </row>
    <row r="380" customFormat="false" ht="15" hidden="false" customHeight="false" outlineLevel="0" collapsed="false">
      <c r="A380" s="4" t="s">
        <v>540</v>
      </c>
      <c r="B380" s="4"/>
      <c r="C380" s="4" t="s">
        <v>159</v>
      </c>
      <c r="D380" s="4" t="s">
        <v>154</v>
      </c>
      <c r="E380" s="4" t="n">
        <v>6</v>
      </c>
      <c r="F380" s="12" t="n">
        <v>9948</v>
      </c>
      <c r="G380" s="10" t="str">
        <f aca="false">IFERROR(INDEX(Mapping!$B$2:$B$100,MATCH(B380,Mapping!$A$2:$A$100,0)),"UNMATCHED")</f>
        <v>UNMATCHED</v>
      </c>
    </row>
    <row r="381" customFormat="false" ht="15" hidden="false" customHeight="false" outlineLevel="0" collapsed="false">
      <c r="A381" s="4" t="s">
        <v>541</v>
      </c>
      <c r="B381" s="4" t="s">
        <v>531</v>
      </c>
      <c r="C381" s="4" t="s">
        <v>150</v>
      </c>
      <c r="D381" s="4" t="s">
        <v>165</v>
      </c>
      <c r="E381" s="4" t="n">
        <v>2</v>
      </c>
      <c r="F381" s="12" t="n">
        <v>4368</v>
      </c>
      <c r="G381" s="10" t="str">
        <f aca="false">IFERROR(INDEX(Mapping!$B$2:$B$100,MATCH(B381,Mapping!$A$2:$A$100,0)),"UNMATCHED")</f>
        <v>UNMATCHED</v>
      </c>
    </row>
    <row r="382" customFormat="false" ht="15" hidden="false" customHeight="false" outlineLevel="0" collapsed="false">
      <c r="A382" s="4" t="s">
        <v>542</v>
      </c>
      <c r="B382" s="4" t="s">
        <v>531</v>
      </c>
      <c r="C382" s="4" t="s">
        <v>153</v>
      </c>
      <c r="D382" s="4" t="s">
        <v>151</v>
      </c>
      <c r="E382" s="4" t="n">
        <v>6</v>
      </c>
      <c r="F382" s="12" t="n">
        <v>13926</v>
      </c>
      <c r="G382" s="10" t="str">
        <f aca="false">IFERROR(INDEX(Mapping!$B$2:$B$100,MATCH(B382,Mapping!$A$2:$A$100,0)),"UNMATCHED")</f>
        <v>UNMATCHED</v>
      </c>
    </row>
    <row r="383" customFormat="false" ht="15" hidden="false" customHeight="false" outlineLevel="0" collapsed="false">
      <c r="A383" s="4" t="s">
        <v>543</v>
      </c>
      <c r="B383" s="4" t="s">
        <v>535</v>
      </c>
      <c r="C383" s="4" t="s">
        <v>159</v>
      </c>
      <c r="D383" s="4" t="s">
        <v>154</v>
      </c>
      <c r="E383" s="4" t="n">
        <v>4</v>
      </c>
      <c r="F383" s="12" t="n">
        <v>10300</v>
      </c>
      <c r="G383" s="10" t="str">
        <f aca="false">IFERROR(INDEX(Mapping!$B$2:$B$100,MATCH(B383,Mapping!$A$2:$A$100,0)),"UNMATCHED")</f>
        <v>UNMATCHED</v>
      </c>
    </row>
    <row r="384" customFormat="false" ht="15" hidden="false" customHeight="false" outlineLevel="0" collapsed="false">
      <c r="A384" s="4" t="s">
        <v>544</v>
      </c>
      <c r="B384" s="4"/>
      <c r="C384" s="4" t="s">
        <v>150</v>
      </c>
      <c r="D384" s="4" t="s">
        <v>163</v>
      </c>
      <c r="E384" s="4" t="n">
        <v>2</v>
      </c>
      <c r="F384" s="12" t="n">
        <v>4086</v>
      </c>
      <c r="G384" s="10" t="str">
        <f aca="false">IFERROR(INDEX(Mapping!$B$2:$B$100,MATCH(B384,Mapping!$A$2:$A$100,0)),"UNMATCHED")</f>
        <v>UNMATCHED</v>
      </c>
    </row>
    <row r="385" customFormat="false" ht="15" hidden="false" customHeight="false" outlineLevel="0" collapsed="false">
      <c r="A385" s="4" t="s">
        <v>545</v>
      </c>
      <c r="B385" s="4" t="s">
        <v>535</v>
      </c>
      <c r="C385" s="4" t="s">
        <v>170</v>
      </c>
      <c r="D385" s="4" t="s">
        <v>154</v>
      </c>
      <c r="E385" s="4" t="n">
        <v>6</v>
      </c>
      <c r="F385" s="12" t="n">
        <v>8718</v>
      </c>
      <c r="G385" s="10" t="str">
        <f aca="false">IFERROR(INDEX(Mapping!$B$2:$B$100,MATCH(B385,Mapping!$A$2:$A$100,0)),"UNMATCHED")</f>
        <v>UNMATCHED</v>
      </c>
    </row>
    <row r="386" customFormat="false" ht="15" hidden="false" customHeight="false" outlineLevel="0" collapsed="false">
      <c r="A386" s="4" t="s">
        <v>546</v>
      </c>
      <c r="B386" s="4" t="s">
        <v>531</v>
      </c>
      <c r="C386" s="4" t="s">
        <v>159</v>
      </c>
      <c r="D386" s="4" t="s">
        <v>175</v>
      </c>
      <c r="E386" s="4" t="n">
        <v>6</v>
      </c>
      <c r="F386" s="12" t="n">
        <v>13152</v>
      </c>
      <c r="G386" s="10" t="str">
        <f aca="false">IFERROR(INDEX(Mapping!$B$2:$B$100,MATCH(B386,Mapping!$A$2:$A$100,0)),"UNMATCHED")</f>
        <v>UNMATCHED</v>
      </c>
    </row>
    <row r="387" customFormat="false" ht="15" hidden="false" customHeight="false" outlineLevel="0" collapsed="false">
      <c r="A387" s="4" t="s">
        <v>547</v>
      </c>
      <c r="B387" s="4" t="s">
        <v>531</v>
      </c>
      <c r="C387" s="4" t="s">
        <v>150</v>
      </c>
      <c r="D387" s="4" t="s">
        <v>165</v>
      </c>
      <c r="E387" s="4" t="n">
        <v>6</v>
      </c>
      <c r="F387" s="12" t="n">
        <v>13878</v>
      </c>
      <c r="G387" s="10" t="str">
        <f aca="false">IFERROR(INDEX(Mapping!$B$2:$B$100,MATCH(B387,Mapping!$A$2:$A$100,0)),"UNMATCHED")</f>
        <v>UNMATCHED</v>
      </c>
    </row>
    <row r="388" customFormat="false" ht="15" hidden="false" customHeight="false" outlineLevel="0" collapsed="false">
      <c r="A388" s="4" t="s">
        <v>548</v>
      </c>
      <c r="B388" s="4"/>
      <c r="C388" s="4" t="s">
        <v>150</v>
      </c>
      <c r="D388" s="4" t="s">
        <v>168</v>
      </c>
      <c r="E388" s="4" t="n">
        <v>2</v>
      </c>
      <c r="F388" s="12" t="n">
        <v>4810</v>
      </c>
      <c r="G388" s="10" t="str">
        <f aca="false">IFERROR(INDEX(Mapping!$B$2:$B$100,MATCH(B388,Mapping!$A$2:$A$100,0)),"UNMATCHED")</f>
        <v>UNMATCHED</v>
      </c>
    </row>
    <row r="389" customFormat="false" ht="15" hidden="false" customHeight="false" outlineLevel="0" collapsed="false">
      <c r="A389" s="4" t="s">
        <v>549</v>
      </c>
      <c r="B389" s="4" t="s">
        <v>531</v>
      </c>
      <c r="C389" s="4" t="s">
        <v>170</v>
      </c>
      <c r="D389" s="4" t="s">
        <v>154</v>
      </c>
      <c r="E389" s="4" t="n">
        <v>2</v>
      </c>
      <c r="F389" s="12" t="n">
        <v>4650</v>
      </c>
      <c r="G389" s="10" t="str">
        <f aca="false">IFERROR(INDEX(Mapping!$B$2:$B$100,MATCH(B389,Mapping!$A$2:$A$100,0)),"UNMATCHED")</f>
        <v>UNMATCHED</v>
      </c>
    </row>
  </sheetData>
  <autoFilter ref="A1:G3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31.5" hidden="false" customHeight="true" outlineLevel="0" collapsed="false">
      <c r="A1" s="8" t="s">
        <v>550</v>
      </c>
      <c r="B1" s="8" t="s">
        <v>551</v>
      </c>
    </row>
    <row r="2" customFormat="false" ht="15" hidden="false" customHeight="false" outlineLevel="0" collapsed="false">
      <c r="A2" s="4" t="s">
        <v>43</v>
      </c>
      <c r="B2" s="4" t="s">
        <v>43</v>
      </c>
    </row>
    <row r="3" customFormat="false" ht="15" hidden="false" customHeight="false" outlineLevel="0" collapsed="false">
      <c r="A3" s="4" t="s">
        <v>47</v>
      </c>
      <c r="B3" s="4" t="s">
        <v>43</v>
      </c>
    </row>
    <row r="4" customFormat="false" ht="15" hidden="false" customHeight="false" outlineLevel="0" collapsed="false">
      <c r="A4" s="4" t="s">
        <v>50</v>
      </c>
      <c r="B4" s="4" t="s">
        <v>43</v>
      </c>
    </row>
    <row r="5" customFormat="false" ht="15" hidden="false" customHeight="false" outlineLevel="0" collapsed="false">
      <c r="A5" s="4" t="s">
        <v>53</v>
      </c>
      <c r="B5" s="4" t="s">
        <v>53</v>
      </c>
    </row>
    <row r="6" customFormat="false" ht="15" hidden="false" customHeight="false" outlineLevel="0" collapsed="false">
      <c r="A6" s="4" t="s">
        <v>57</v>
      </c>
      <c r="B6" s="4" t="s">
        <v>53</v>
      </c>
    </row>
    <row r="7" customFormat="false" ht="15" hidden="false" customHeight="false" outlineLevel="0" collapsed="false">
      <c r="A7" s="4" t="s">
        <v>105</v>
      </c>
      <c r="B7" s="4" t="s">
        <v>53</v>
      </c>
    </row>
    <row r="8" customFormat="false" ht="15" hidden="false" customHeight="false" outlineLevel="0" collapsed="false">
      <c r="A8" s="4" t="s">
        <v>60</v>
      </c>
      <c r="B8" s="4" t="s">
        <v>60</v>
      </c>
    </row>
    <row r="9" customFormat="false" ht="15" hidden="false" customHeight="false" outlineLevel="0" collapsed="false">
      <c r="A9" s="4" t="s">
        <v>66</v>
      </c>
      <c r="B9" s="4" t="s">
        <v>66</v>
      </c>
    </row>
    <row r="10" customFormat="false" ht="15" hidden="false" customHeight="false" outlineLevel="0" collapsed="false">
      <c r="A10" s="4" t="s">
        <v>70</v>
      </c>
      <c r="B10" s="4" t="s">
        <v>66</v>
      </c>
    </row>
    <row r="11" customFormat="false" ht="15" hidden="false" customHeight="false" outlineLevel="0" collapsed="false">
      <c r="A11" s="4" t="s">
        <v>75</v>
      </c>
      <c r="B11" s="4" t="s">
        <v>75</v>
      </c>
    </row>
    <row r="12" customFormat="false" ht="15" hidden="false" customHeight="false" outlineLevel="0" collapsed="false">
      <c r="A12" s="4" t="s">
        <v>79</v>
      </c>
      <c r="B12" s="4" t="s">
        <v>75</v>
      </c>
    </row>
    <row r="13" customFormat="false" ht="15" hidden="false" customHeight="false" outlineLevel="0" collapsed="false">
      <c r="A13" s="4" t="s">
        <v>82</v>
      </c>
      <c r="B13" s="4" t="s">
        <v>82</v>
      </c>
    </row>
    <row r="14" customFormat="false" ht="15" hidden="false" customHeight="false" outlineLevel="0" collapsed="false">
      <c r="A14" s="4" t="s">
        <v>85</v>
      </c>
      <c r="B14" s="4" t="s">
        <v>85</v>
      </c>
    </row>
    <row r="15" customFormat="false" ht="15" hidden="false" customHeight="false" outlineLevel="0" collapsed="false">
      <c r="A15" s="4" t="s">
        <v>89</v>
      </c>
      <c r="B15" s="4" t="s">
        <v>89</v>
      </c>
    </row>
    <row r="16" customFormat="false" ht="15" hidden="false" customHeight="false" outlineLevel="0" collapsed="false">
      <c r="A16" s="4" t="s">
        <v>93</v>
      </c>
      <c r="B16" s="4" t="s">
        <v>93</v>
      </c>
    </row>
    <row r="17" customFormat="false" ht="15" hidden="false" customHeight="false" outlineLevel="0" collapsed="false">
      <c r="A17" s="4" t="s">
        <v>96</v>
      </c>
      <c r="B17" s="4" t="s">
        <v>96</v>
      </c>
    </row>
    <row r="18" customFormat="false" ht="15" hidden="false" customHeight="false" outlineLevel="0" collapsed="false">
      <c r="A18" s="4" t="s">
        <v>99</v>
      </c>
      <c r="B18" s="4" t="s">
        <v>99</v>
      </c>
    </row>
    <row r="19" customFormat="false" ht="15" hidden="false" customHeight="false" outlineLevel="0" collapsed="false">
      <c r="A19" s="4" t="s">
        <v>102</v>
      </c>
      <c r="B19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2026-10-12T09:21:02Z</dcterms:created>
  <dc:creator>openpyxl</dc:creator>
  <dc:description/>
  <dc:language>en-US</dc:language>
  <cp:lastModifiedBy/>
  <dcterms:modified xsi:type="dcterms:W3CDTF">2026-10-12T09:21:02Z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